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IMEX\Desktop\TESIS\PROPUESTA RELOJ CONTROL DE ASISTENCIA\"/>
    </mc:Choice>
  </mc:AlternateContent>
  <xr:revisionPtr revIDLastSave="0" documentId="13_ncr:1_{156E31DF-14AD-4EC7-B20C-1D53DAD61DE3}" xr6:coauthVersionLast="47" xr6:coauthVersionMax="47" xr10:uidLastSave="{00000000-0000-0000-0000-000000000000}"/>
  <bookViews>
    <workbookView xWindow="-120" yWindow="-120" windowWidth="19800" windowHeight="11760" activeTab="1" xr2:uid="{00000000-000D-0000-FFFF-FFFF00000000}"/>
  </bookViews>
  <sheets>
    <sheet name="Reloj" sheetId="1" r:id="rId1"/>
    <sheet name="Historico" sheetId="3" r:id="rId2"/>
    <sheet name="Datos" sheetId="4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D10" i="1"/>
  <c r="D9" i="1"/>
  <c r="D8" i="1"/>
  <c r="D7" i="1"/>
  <c r="H2" i="3"/>
  <c r="C5" i="1"/>
  <c r="G2" i="3"/>
</calcChain>
</file>

<file path=xl/sharedStrings.xml><?xml version="1.0" encoding="utf-8"?>
<sst xmlns="http://schemas.openxmlformats.org/spreadsheetml/2006/main" count="27" uniqueCount="17">
  <si>
    <t>Cargo</t>
  </si>
  <si>
    <t>Área</t>
  </si>
  <si>
    <t>Registro</t>
  </si>
  <si>
    <t>Fecha</t>
  </si>
  <si>
    <t>Hora</t>
  </si>
  <si>
    <t>Nombre</t>
  </si>
  <si>
    <t>Tipo de registro</t>
  </si>
  <si>
    <t>Cédula</t>
  </si>
  <si>
    <t>No. Cédula</t>
  </si>
  <si>
    <t xml:space="preserve">Nombre </t>
  </si>
  <si>
    <t>Apellido</t>
  </si>
  <si>
    <t>Entrada</t>
  </si>
  <si>
    <t>Salida</t>
  </si>
  <si>
    <t xml:space="preserve">GAD PARROQUIAL RURAL </t>
  </si>
  <si>
    <t>Almuerzo Salida</t>
  </si>
  <si>
    <t>Almuerzo Entrada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</si>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</sst>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8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0"/>
      <name val="Arial"/>
      <family val="2"/>
    </font>
    <font>
      <sz val="11"/>
      <color theme="0"/>
      <name val="Calibri"/>
      <family val="2"/>
      <scheme val="minor"/>
    </font>
    <font>
      <sz val="18"/>
      <color theme="0"/>
      <name val="Arial"/>
      <family val="2"/>
    </font>
    <font>
      <b/>
      <sz val="2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8FAA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5" fillId="2" borderId="0" xfId="0" applyFont="1" applyFill="1" applyBorder="1"/>
    <xf numFmtId="49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49" fontId="1" fillId="0" borderId="1" xfId="0" quotePrefix="1" applyNumberFormat="1" applyFont="1" applyBorder="1"/>
    <xf numFmtId="0" fontId="1" fillId="0" borderId="1" xfId="0" applyFont="1" applyBorder="1"/>
    <xf numFmtId="49" fontId="1" fillId="0" borderId="1" xfId="0" applyNumberFormat="1" applyFont="1" applyBorder="1"/>
    <xf numFmtId="0" fontId="0" fillId="0" borderId="0" xfId="0" applyProtection="1">
      <protection locked="0"/>
    </xf>
    <xf numFmtId="14" fontId="0" fillId="0" borderId="0" xfId="0" applyNumberFormat="1" applyProtection="1"/>
    <xf numFmtId="164" fontId="0" fillId="0" borderId="0" xfId="0" applyNumberFormat="1" applyProtection="1"/>
    <xf numFmtId="0" fontId="0" fillId="0" borderId="0" xfId="0" applyProtection="1"/>
    <xf numFmtId="0" fontId="3" fillId="0" borderId="1" xfId="0" applyFont="1" applyBorder="1" applyProtection="1">
      <protection locked="0" hidden="1"/>
    </xf>
    <xf numFmtId="0" fontId="2" fillId="0" borderId="0" xfId="0" applyFont="1" applyProtection="1">
      <protection locked="0"/>
    </xf>
    <xf numFmtId="0" fontId="6" fillId="3" borderId="2" xfId="0" applyFont="1" applyFill="1" applyBorder="1" applyProtection="1">
      <protection locked="0"/>
    </xf>
    <xf numFmtId="0" fontId="7" fillId="3" borderId="3" xfId="0" applyFont="1" applyFill="1" applyBorder="1" applyProtection="1">
      <protection locked="0"/>
    </xf>
    <xf numFmtId="0" fontId="6" fillId="3" borderId="4" xfId="0" applyFont="1" applyFill="1" applyBorder="1" applyProtection="1">
      <protection locked="0"/>
    </xf>
    <xf numFmtId="0" fontId="8" fillId="3" borderId="5" xfId="0" applyFont="1" applyFill="1" applyBorder="1" applyAlignment="1" applyProtection="1">
      <alignment vertical="center"/>
      <protection locked="0"/>
    </xf>
    <xf numFmtId="0" fontId="6" fillId="3" borderId="6" xfId="0" applyFont="1" applyFill="1" applyBorder="1" applyProtection="1">
      <protection locked="0"/>
    </xf>
    <xf numFmtId="0" fontId="6" fillId="3" borderId="5" xfId="0" applyFont="1" applyFill="1" applyBorder="1" applyProtection="1">
      <protection locked="0"/>
    </xf>
    <xf numFmtId="0" fontId="0" fillId="0" borderId="5" xfId="0" applyBorder="1" applyProtection="1">
      <protection locked="0"/>
    </xf>
    <xf numFmtId="0" fontId="4" fillId="0" borderId="0" xfId="0" applyFont="1" applyBorder="1" applyProtection="1">
      <protection locked="0"/>
    </xf>
    <xf numFmtId="49" fontId="3" fillId="0" borderId="1" xfId="0" applyNumberFormat="1" applyFont="1" applyBorder="1" applyProtection="1">
      <protection locked="0"/>
    </xf>
    <xf numFmtId="0" fontId="4" fillId="0" borderId="0" xfId="0" applyFont="1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0" fillId="0" borderId="7" xfId="0" applyBorder="1" applyProtection="1">
      <protection locked="0"/>
    </xf>
    <xf numFmtId="0" fontId="2" fillId="0" borderId="8" xfId="0" applyFont="1" applyBorder="1" applyProtection="1">
      <protection locked="0"/>
    </xf>
    <xf numFmtId="0" fontId="0" fillId="0" borderId="9" xfId="0" applyBorder="1" applyProtection="1">
      <protection locked="0"/>
    </xf>
    <xf numFmtId="0" fontId="8" fillId="3" borderId="0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  <protection locked="0" hidden="1"/>
    </xf>
    <xf numFmtId="14" fontId="8" fillId="3" borderId="0" xfId="0" applyNumberFormat="1" applyFont="1" applyFill="1" applyBorder="1" applyAlignment="1" applyProtection="1">
      <alignment horizontal="center" vertical="top"/>
      <protection locked="0" hidden="1"/>
    </xf>
  </cellXfs>
  <cellStyles count="1">
    <cellStyle name="Normal" xfId="0" builtinId="0"/>
  </cellStyles>
  <dxfs count="10"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colors>
    <mruColors>
      <color rgb="FF8FAAFF"/>
      <color rgb="FFB7C8FF"/>
      <color rgb="FF3366FF"/>
      <color rgb="FFC1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6</xdr:row>
      <xdr:rowOff>308339</xdr:rowOff>
    </xdr:from>
    <xdr:to>
      <xdr:col>4</xdr:col>
      <xdr:colOff>1447800</xdr:colOff>
      <xdr:row>10</xdr:row>
      <xdr:rowOff>257175</xdr:rowOff>
    </xdr:to>
    <xdr:pic macro="[0]!Guardar">
      <xdr:nvPicPr>
        <xdr:cNvPr id="4" name="Imagen 3" descr="Botón PNG">
          <a:extLst>
            <a:ext uri="{FF2B5EF4-FFF2-40B4-BE49-F238E27FC236}">
              <a16:creationId xmlns:a16="http://schemas.microsoft.com/office/drawing/2014/main" id="{D6F55232-5152-7C76-6F7C-403BB4425B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62300" y="2051414"/>
          <a:ext cx="1257300" cy="1034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590550</xdr:colOff>
      <xdr:row>4</xdr:row>
      <xdr:rowOff>342900</xdr:rowOff>
    </xdr:from>
    <xdr:to>
      <xdr:col>4</xdr:col>
      <xdr:colOff>1466850</xdr:colOff>
      <xdr:row>4</xdr:row>
      <xdr:rowOff>762000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FF78AB41-4BA1-3FBC-5434-11FA7DA6758D}"/>
            </a:ext>
          </a:extLst>
        </xdr:cNvPr>
        <xdr:cNvSpPr txBox="1"/>
      </xdr:nvSpPr>
      <xdr:spPr>
        <a:xfrm>
          <a:off x="1266825" y="1524000"/>
          <a:ext cx="3543300" cy="419100"/>
        </a:xfrm>
        <a:prstGeom prst="rect">
          <a:avLst/>
        </a:prstGeom>
        <a:solidFill>
          <a:srgbClr val="0070C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C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EC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del servidor público</a:t>
          </a:r>
          <a:endParaRPr lang="es-EC" sz="1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H2" totalsRowShown="0" headerRowDxfId="9" dataDxfId="8">
  <autoFilter ref="A1:H2" xr:uid="{00000000-0009-0000-0100-000002000000}"/>
  <tableColumns count="8">
    <tableColumn id="1" xr3:uid="{00000000-0010-0000-0000-000001000000}" name="No. Cédula" dataDxfId="7"/>
    <tableColumn id="2" xr3:uid="{00000000-0010-0000-0000-000002000000}" name="Nombre" dataDxfId="6"/>
    <tableColumn id="3" xr3:uid="{00000000-0010-0000-0000-000003000000}" name="Apellido" dataDxfId="5"/>
    <tableColumn id="4" xr3:uid="{00000000-0010-0000-0000-000004000000}" name="Cargo" dataDxfId="4"/>
    <tableColumn id="5" xr3:uid="{00000000-0010-0000-0000-000005000000}" name="Área" dataDxfId="3"/>
    <tableColumn id="6" xr3:uid="{00000000-0010-0000-0000-000006000000}" name="Registro" dataDxfId="2"/>
    <tableColumn id="7" xr3:uid="{00000000-0010-0000-0000-000007000000}" name="Fecha" dataDxfId="1">
      <calculatedColumnFormula>TODAY()</calculatedColumnFormula>
    </tableColumn>
    <tableColumn id="8" xr3:uid="{00000000-0010-0000-0000-000008000000}" name="Hora" dataDxfId="0">
      <calculatedColumnFormula>TEXT(NOW(),"H:MM am/pm")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12"/>
  <sheetViews>
    <sheetView showGridLines="0" workbookViewId="0">
      <selection activeCell="D8" sqref="D8"/>
    </sheetView>
  </sheetViews>
  <sheetFormatPr baseColWidth="10" defaultRowHeight="23.25" x14ac:dyDescent="0.35"/>
  <cols>
    <col min="1" max="1" width="7" style="8" customWidth="1"/>
    <col min="2" max="2" width="3.140625" style="8" customWidth="1"/>
    <col min="3" max="3" width="12.85546875" style="13" customWidth="1"/>
    <col min="4" max="4" width="27.140625" style="13" customWidth="1"/>
    <col min="5" max="5" width="25.42578125" style="13" customWidth="1"/>
    <col min="6" max="6" width="3.85546875" style="8" customWidth="1"/>
    <col min="7" max="16384" width="11.42578125" style="8"/>
  </cols>
  <sheetData>
    <row r="1" spans="2:6" ht="24" thickBot="1" x14ac:dyDescent="0.4"/>
    <row r="2" spans="2:6" ht="16.5" customHeight="1" x14ac:dyDescent="0.35">
      <c r="B2" s="14"/>
      <c r="C2" s="15"/>
      <c r="D2" s="15"/>
      <c r="E2" s="15"/>
      <c r="F2" s="16"/>
    </row>
    <row r="3" spans="2:6" ht="26.25" x14ac:dyDescent="0.25">
      <c r="B3" s="17"/>
      <c r="C3" s="31" t="s">
        <v>13</v>
      </c>
      <c r="D3" s="31"/>
      <c r="E3" s="31"/>
      <c r="F3" s="18"/>
    </row>
    <row r="4" spans="2:6" ht="26.25" x14ac:dyDescent="0.25">
      <c r="B4" s="19"/>
      <c r="C4" s="32" t="str">
        <f ca="1">TEXT(NOW(),"H:MM am/pm")</f>
        <v>12:51 p. m.</v>
      </c>
      <c r="D4" s="32"/>
      <c r="E4" s="32"/>
      <c r="F4" s="18"/>
    </row>
    <row r="5" spans="2:6" ht="66" customHeight="1" x14ac:dyDescent="0.25">
      <c r="B5" s="19"/>
      <c r="C5" s="33">
        <f ca="1">+TODAY()</f>
        <v>44769</v>
      </c>
      <c r="D5" s="33"/>
      <c r="E5" s="33"/>
      <c r="F5" s="18"/>
    </row>
    <row r="6" spans="2:6" ht="19.5" customHeight="1" x14ac:dyDescent="0.25">
      <c r="B6" s="20"/>
      <c r="C6" s="21" t="s">
        <v>7</v>
      </c>
      <c r="D6" s="22" t="s">
        <v>16</v>
      </c>
      <c r="E6" s="23" t="s">
        <v>6</v>
      </c>
      <c r="F6" s="24"/>
    </row>
    <row r="7" spans="2:6" ht="18" x14ac:dyDescent="0.25">
      <c r="B7" s="20"/>
      <c r="C7" s="21" t="s">
        <v>5</v>
      </c>
      <c r="D7" s="12" t="str">
        <f>IFERROR(VLOOKUP(D6,Datos!A:E,2,0),"")</f>
        <v/>
      </c>
      <c r="E7" s="25" t="s">
        <v>11</v>
      </c>
      <c r="F7" s="24"/>
    </row>
    <row r="8" spans="2:6" x14ac:dyDescent="0.35">
      <c r="B8" s="20"/>
      <c r="C8" s="21" t="s">
        <v>10</v>
      </c>
      <c r="D8" s="12" t="str">
        <f>IFERROR(VLOOKUP(D6,Datos!A:E,3,0),"")</f>
        <v/>
      </c>
      <c r="E8" s="26"/>
      <c r="F8" s="24"/>
    </row>
    <row r="9" spans="2:6" ht="18" x14ac:dyDescent="0.25">
      <c r="B9" s="20"/>
      <c r="C9" s="21" t="s">
        <v>1</v>
      </c>
      <c r="D9" s="12" t="str">
        <f>IFERROR(VLOOKUP(D6,Datos!A:E,5,0),"")</f>
        <v/>
      </c>
      <c r="E9" s="27"/>
      <c r="F9" s="24"/>
    </row>
    <row r="10" spans="2:6" ht="20.25" customHeight="1" x14ac:dyDescent="0.35">
      <c r="B10" s="20"/>
      <c r="C10" s="21" t="s">
        <v>0</v>
      </c>
      <c r="D10" s="12" t="str">
        <f>IFERROR(VLOOKUP(D6,Datos!A:E,4,0),"")</f>
        <v/>
      </c>
      <c r="E10" s="26"/>
      <c r="F10" s="24"/>
    </row>
    <row r="11" spans="2:6" ht="24" thickBot="1" x14ac:dyDescent="0.4">
      <c r="B11" s="28"/>
      <c r="C11" s="29"/>
      <c r="D11" s="29"/>
      <c r="E11" s="29"/>
      <c r="F11" s="30"/>
    </row>
    <row r="12" spans="2:6" x14ac:dyDescent="0.35">
      <c r="D12" s="8"/>
    </row>
  </sheetData>
  <sheetProtection sheet="1" objects="1" scenarios="1"/>
  <mergeCells count="3">
    <mergeCell ref="C3:E3"/>
    <mergeCell ref="C4:E4"/>
    <mergeCell ref="C5:E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Datos!$G$2:$G$5</xm:f>
          </x14:formula1>
          <xm:sqref>E7</xm:sqref>
        </x14:dataValidation>
        <x14:dataValidation type="list" allowBlank="1" showInputMessage="1" showErrorMessage="1" xr:uid="{00000000-0002-0000-0000-000001000000}">
          <x14:formula1>
            <xm:f>Datos!$A:$A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2"/>
  <sheetViews>
    <sheetView showGridLines="0" tabSelected="1" workbookViewId="0">
      <selection activeCell="D9" sqref="D9"/>
    </sheetView>
  </sheetViews>
  <sheetFormatPr baseColWidth="10" defaultRowHeight="15" x14ac:dyDescent="0.25"/>
  <cols>
    <col min="1" max="1" width="15.28515625" style="8" customWidth="1"/>
    <col min="2" max="2" width="11.7109375" style="8" customWidth="1"/>
    <col min="3" max="3" width="11.5703125" style="8" customWidth="1"/>
    <col min="4" max="6" width="11.42578125" style="8"/>
    <col min="7" max="7" width="11.85546875" style="11" bestFit="1" customWidth="1"/>
    <col min="8" max="8" width="11.42578125" style="11"/>
    <col min="9" max="16384" width="11.42578125" style="8"/>
  </cols>
  <sheetData>
    <row r="1" spans="1:8" x14ac:dyDescent="0.25">
      <c r="A1" s="8" t="s">
        <v>8</v>
      </c>
      <c r="B1" s="8" t="s">
        <v>5</v>
      </c>
      <c r="C1" s="8" t="s">
        <v>10</v>
      </c>
      <c r="D1" s="8" t="s">
        <v>0</v>
      </c>
      <c r="E1" s="8" t="s">
        <v>1</v>
      </c>
      <c r="F1" s="8" t="s">
        <v>2</v>
      </c>
      <c r="G1" s="9" t="s">
        <v>3</v>
      </c>
      <c r="H1" s="10" t="s">
        <v>4</v>
      </c>
    </row>
    <row r="2" spans="1:8" x14ac:dyDescent="0.25">
      <c r="G2" s="9">
        <f ca="1">TODAY()</f>
        <v>44769</v>
      </c>
      <c r="H2" s="11" t="str">
        <f ca="1">TEXT(NOW(),"H:MM am/pm")</f>
        <v>12:51 p. m.</v>
      </c>
    </row>
  </sheetData>
  <sheetProtection algorithmName="SHA-512" hashValue="mky0HLuZbAVLDqwVHdlwqFAgJ92+t132sGWzywPkYX3uxkjOFkUghfGHt69i8uzkbJP179HKvXaEyW9B85imhA==" saltValue="vqRRiObigIbTm0+Kon17bA==" spinCount="10000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G5"/>
  <sheetViews>
    <sheetView showGridLines="0" workbookViewId="0">
      <selection activeCell="A3" sqref="A3"/>
    </sheetView>
  </sheetViews>
  <sheetFormatPr baseColWidth="10" defaultRowHeight="15" x14ac:dyDescent="0.25"/>
  <cols>
    <col min="1" max="1" width="13.7109375" style="7" customWidth="1"/>
    <col min="2" max="3" width="15.5703125" style="6" customWidth="1"/>
    <col min="4" max="4" width="15.7109375" style="6" customWidth="1"/>
    <col min="5" max="5" width="17" style="6" customWidth="1"/>
    <col min="6" max="6" width="11.42578125" style="1"/>
    <col min="7" max="7" width="17.85546875" style="1" customWidth="1"/>
  </cols>
  <sheetData>
    <row r="1" spans="1:7" x14ac:dyDescent="0.25">
      <c r="A1" s="3" t="s">
        <v>8</v>
      </c>
      <c r="B1" s="4" t="s">
        <v>9</v>
      </c>
      <c r="C1" s="4" t="s">
        <v>10</v>
      </c>
      <c r="D1" s="4" t="s">
        <v>0</v>
      </c>
      <c r="E1" s="4" t="s">
        <v>1</v>
      </c>
      <c r="G1" s="2" t="s">
        <v>6</v>
      </c>
    </row>
    <row r="2" spans="1:7" x14ac:dyDescent="0.25">
      <c r="A2" s="5"/>
      <c r="G2" s="1" t="s">
        <v>11</v>
      </c>
    </row>
    <row r="3" spans="1:7" x14ac:dyDescent="0.25">
      <c r="G3" s="1" t="s">
        <v>12</v>
      </c>
    </row>
    <row r="4" spans="1:7" x14ac:dyDescent="0.25">
      <c r="G4" s="1" t="s">
        <v>14</v>
      </c>
    </row>
    <row r="5" spans="1:7" x14ac:dyDescent="0.25">
      <c r="G5" s="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Reloj</vt:lpstr>
      <vt:lpstr>Historico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MARCIMEX</dc:creator>
  <cp:lastModifiedBy>MARCIMEX</cp:lastModifiedBy>
  <dcterms:created xsi:type="dcterms:W3CDTF">2022-07-20T13:50:34Z</dcterms:created>
  <dcterms:modified xsi:type="dcterms:W3CDTF">2022-07-27T17:52:02Z</dcterms:modified>
</cp:coreProperties>
</file>