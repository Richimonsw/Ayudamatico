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RIAN JOHANA\Documents\"/>
    </mc:Choice>
  </mc:AlternateContent>
  <xr:revisionPtr revIDLastSave="0" documentId="13_ncr:1_{CB241ACD-6370-4760-952C-B417366F9E7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tilla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B2" i="1"/>
  <c r="H4" i="1" l="1"/>
  <c r="H8" i="1"/>
  <c r="G8" i="1" s="1"/>
  <c r="H7" i="1"/>
  <c r="G7" i="1" s="1"/>
  <c r="H6" i="1"/>
  <c r="G6" i="1" s="1"/>
  <c r="H5" i="1"/>
  <c r="G5" i="1" s="1"/>
  <c r="G2" i="1" l="1"/>
  <c r="E2" i="1"/>
  <c r="F2" i="1"/>
  <c r="G4" i="1"/>
  <c r="D2" i="1"/>
</calcChain>
</file>

<file path=xl/sharedStrings.xml><?xml version="1.0" encoding="utf-8"?>
<sst xmlns="http://schemas.openxmlformats.org/spreadsheetml/2006/main" count="22" uniqueCount="22">
  <si>
    <t>N° Factura</t>
  </si>
  <si>
    <t>Cliente</t>
  </si>
  <si>
    <t>Fecha Emisión</t>
  </si>
  <si>
    <t>Días a vencer</t>
  </si>
  <si>
    <t>Fecha Vencimiento</t>
  </si>
  <si>
    <t>Alertas</t>
  </si>
  <si>
    <t>días</t>
  </si>
  <si>
    <t>Fact_001</t>
  </si>
  <si>
    <t>Molinsa Corp SAC.</t>
  </si>
  <si>
    <t>Fact_002</t>
  </si>
  <si>
    <t>Cajamarca E.I.R.L</t>
  </si>
  <si>
    <t>Fact_003</t>
  </si>
  <si>
    <t>Grupo MTM SAC.</t>
  </si>
  <si>
    <t>Fact_004</t>
  </si>
  <si>
    <t>Imnobiliaria ABF</t>
  </si>
  <si>
    <t>Fact_005</t>
  </si>
  <si>
    <t>Constructora PERL SAC.</t>
  </si>
  <si>
    <t>CRONOGRAMA DE VENCIMIENTO</t>
  </si>
  <si>
    <t>Vencida</t>
  </si>
  <si>
    <t>Vencen hoy</t>
  </si>
  <si>
    <t xml:space="preserve">Próximo a vencer </t>
  </si>
  <si>
    <t>Pendientes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</si>
</sst>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2" borderId="2" xfId="0" applyNumberFormat="1" applyFill="1" applyBorder="1"/>
    <xf numFmtId="0" fontId="1" fillId="0" borderId="1" xfId="0" applyFont="1" applyBorder="1"/>
    <xf numFmtId="14" fontId="1" fillId="0" borderId="1" xfId="0" applyNumberFormat="1" applyFont="1" applyBorder="1"/>
    <xf numFmtId="0" fontId="1" fillId="0" borderId="4" xfId="0" applyFont="1" applyBorder="1"/>
    <xf numFmtId="0" fontId="1" fillId="0" borderId="5" xfId="0" applyFont="1" applyBorder="1"/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0" borderId="0" xfId="0" applyFont="1"/>
    <xf numFmtId="0" fontId="5" fillId="0" borderId="0" xfId="0" applyFont="1"/>
    <xf numFmtId="0" fontId="5" fillId="3" borderId="0" xfId="0" applyFont="1" applyFill="1"/>
    <xf numFmtId="0" fontId="5" fillId="4" borderId="0" xfId="0" applyFont="1" applyFill="1"/>
    <xf numFmtId="0" fontId="5" fillId="5" borderId="0" xfId="0" applyFont="1" applyFill="1"/>
    <xf numFmtId="0" fontId="5" fillId="6" borderId="0" xfId="0" applyFont="1" applyFill="1"/>
    <xf numFmtId="0" fontId="4" fillId="0" borderId="0" xfId="0" applyFont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 tint="4.9989318521683403E-2"/>
        <name val="Calibri"/>
        <scheme val="minor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3:H8" totalsRowShown="0" headerRowDxfId="10" headerRowBorderDxfId="9" tableBorderDxfId="8" totalsRowBorderDxfId="7">
  <autoFilter ref="B3:H8" xr:uid="{00000000-0009-0000-0100-000001000000}"/>
  <tableColumns count="7">
    <tableColumn id="1" xr3:uid="{00000000-0010-0000-0000-000001000000}" name="N° Factura" dataDxfId="6"/>
    <tableColumn id="2" xr3:uid="{00000000-0010-0000-0000-000002000000}" name="Cliente" dataDxfId="5"/>
    <tableColumn id="3" xr3:uid="{00000000-0010-0000-0000-000003000000}" name="Fecha Emisión" dataDxfId="4"/>
    <tableColumn id="4" xr3:uid="{00000000-0010-0000-0000-000004000000}" name="Días a vencer" dataDxfId="3"/>
    <tableColumn id="5" xr3:uid="{00000000-0010-0000-0000-000005000000}" name="Fecha Vencimiento" dataDxfId="2">
      <calculatedColumnFormula>IF(Tabla1[[#This Row],[Días a vencer]]="","",D4+E4)</calculatedColumnFormula>
    </tableColumn>
    <tableColumn id="6" xr3:uid="{00000000-0010-0000-0000-000006000000}" name="Alertas" dataDxfId="1">
      <calculatedColumnFormula>IF(E4="","VACIO",IF(H4&lt;0,"Vencido hace "&amp;H4*-1&amp;" días",IF(H4=0,"Vence hoy",IF(H4&lt;4,"Tiene "&amp;H4&amp;" días","Faltan "&amp;H4&amp;" días"))))</calculatedColumnFormula>
    </tableColumn>
    <tableColumn id="7" xr3:uid="{00000000-0010-0000-0000-000007000000}" name="días" dataDxfId="0">
      <calculatedColumnFormula>F4-$B$2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H13"/>
  <sheetViews>
    <sheetView showGridLines="0" tabSelected="1" zoomScale="190" zoomScaleNormal="190" workbookViewId="0">
      <selection activeCell="E9" sqref="E9"/>
    </sheetView>
  </sheetViews>
  <sheetFormatPr baseColWidth="10" defaultRowHeight="15" x14ac:dyDescent="0.25"/>
  <cols>
    <col min="1" max="1" width="2.85546875" customWidth="1"/>
    <col min="2" max="2" width="16.5703125" bestFit="1" customWidth="1"/>
    <col min="3" max="3" width="18" customWidth="1"/>
    <col min="4" max="5" width="11.5703125" customWidth="1"/>
    <col min="6" max="6" width="13.42578125" customWidth="1"/>
    <col min="7" max="7" width="15.7109375" customWidth="1"/>
    <col min="8" max="8" width="7.28515625" hidden="1" customWidth="1"/>
  </cols>
  <sheetData>
    <row r="1" spans="2:8" ht="15.75" thickBot="1" x14ac:dyDescent="0.3">
      <c r="C1" s="15" t="s">
        <v>17</v>
      </c>
      <c r="D1" s="15"/>
      <c r="E1" s="15"/>
      <c r="F1" s="15"/>
    </row>
    <row r="2" spans="2:8" ht="15.75" customHeight="1" thickBot="1" x14ac:dyDescent="0.3">
      <c r="B2" s="1">
        <f ca="1">TODAY()</f>
        <v>44757</v>
      </c>
      <c r="D2" s="9">
        <f ca="1">COUNTIF(Tabla1[días],"&lt;0")</f>
        <v>2</v>
      </c>
      <c r="E2" s="9">
        <f ca="1">COUNTIF(Tabla1[días],"=0")</f>
        <v>1</v>
      </c>
      <c r="F2" s="9">
        <f ca="1">COUNTIFS(Tabla1[días],"&gt;0",Tabla1[días],"&lt;4")</f>
        <v>1</v>
      </c>
      <c r="G2" s="9">
        <f ca="1">COUNTIF(Tabla1[días],"&gt;3")</f>
        <v>1</v>
      </c>
      <c r="H2" s="9"/>
    </row>
    <row r="3" spans="2:8" x14ac:dyDescent="0.25">
      <c r="B3" s="6" t="s">
        <v>0</v>
      </c>
      <c r="C3" s="7" t="s">
        <v>1</v>
      </c>
      <c r="D3" s="7" t="s">
        <v>2</v>
      </c>
      <c r="E3" s="7" t="s">
        <v>3</v>
      </c>
      <c r="F3" s="7" t="s">
        <v>4</v>
      </c>
      <c r="G3" s="7" t="s">
        <v>5</v>
      </c>
      <c r="H3" s="8" t="s">
        <v>6</v>
      </c>
    </row>
    <row r="4" spans="2:8" x14ac:dyDescent="0.25">
      <c r="B4" s="4" t="s">
        <v>7</v>
      </c>
      <c r="C4" s="2" t="s">
        <v>8</v>
      </c>
      <c r="D4" s="3">
        <v>44729</v>
      </c>
      <c r="E4" s="2">
        <v>30</v>
      </c>
      <c r="F4" s="3">
        <f>IF(Tabla1[[#This Row],[Días a vencer]]="","",D4+E4)</f>
        <v>44759</v>
      </c>
      <c r="G4" s="2" t="str">
        <f t="shared" ref="G4:G8" ca="1" si="0">IF(E4="","VACIO",IF(H4&lt;0,"Vencido hace "&amp;H4*-1&amp;" días",IF(H4=0,"Vence hoy",IF(H4&lt;4,"Tiene "&amp;H4&amp;" días","Faltan "&amp;H4&amp;" días"))))</f>
        <v>Tiene 2 días</v>
      </c>
      <c r="H4" s="5">
        <f ca="1">F4-$B$2</f>
        <v>2</v>
      </c>
    </row>
    <row r="5" spans="2:8" x14ac:dyDescent="0.25">
      <c r="B5" s="4" t="s">
        <v>9</v>
      </c>
      <c r="C5" s="2" t="s">
        <v>10</v>
      </c>
      <c r="D5" s="3">
        <v>44743</v>
      </c>
      <c r="E5" s="2">
        <v>12</v>
      </c>
      <c r="F5" s="3">
        <f>IF(Tabla1[[#This Row],[Días a vencer]]="","",D5+E5)</f>
        <v>44755</v>
      </c>
      <c r="G5" s="2" t="str">
        <f t="shared" ca="1" si="0"/>
        <v>Vencido hace 2 días</v>
      </c>
      <c r="H5" s="5">
        <f t="shared" ref="H5:H8" ca="1" si="1">F5-$B$2</f>
        <v>-2</v>
      </c>
    </row>
    <row r="6" spans="2:8" x14ac:dyDescent="0.25">
      <c r="B6" s="4" t="s">
        <v>11</v>
      </c>
      <c r="C6" s="2" t="s">
        <v>12</v>
      </c>
      <c r="D6" s="3">
        <v>44752</v>
      </c>
      <c r="E6" s="2">
        <v>5</v>
      </c>
      <c r="F6" s="3">
        <f>IF(Tabla1[[#This Row],[Días a vencer]]="","",D6+E6)</f>
        <v>44757</v>
      </c>
      <c r="G6" s="2" t="str">
        <f t="shared" ca="1" si="0"/>
        <v>Vence hoy</v>
      </c>
      <c r="H6" s="5">
        <f t="shared" ca="1" si="1"/>
        <v>0</v>
      </c>
    </row>
    <row r="7" spans="2:8" x14ac:dyDescent="0.25">
      <c r="B7" s="4" t="s">
        <v>13</v>
      </c>
      <c r="C7" s="2" t="s">
        <v>14</v>
      </c>
      <c r="D7" s="3">
        <v>44748</v>
      </c>
      <c r="E7" s="2">
        <v>5</v>
      </c>
      <c r="F7" s="3">
        <f>IF(Tabla1[[#This Row],[Días a vencer]]="","",D7+E7)</f>
        <v>44753</v>
      </c>
      <c r="G7" s="2" t="str">
        <f t="shared" ca="1" si="0"/>
        <v>Vencido hace 4 días</v>
      </c>
      <c r="H7" s="5">
        <f t="shared" ca="1" si="1"/>
        <v>-4</v>
      </c>
    </row>
    <row r="8" spans="2:8" x14ac:dyDescent="0.25">
      <c r="B8" s="4" t="s">
        <v>15</v>
      </c>
      <c r="C8" s="2" t="s">
        <v>16</v>
      </c>
      <c r="D8" s="3">
        <v>44754</v>
      </c>
      <c r="E8" s="2">
        <v>25</v>
      </c>
      <c r="F8" s="3">
        <f>IF(Tabla1[[#This Row],[Días a vencer]]="","",D8+E8)</f>
        <v>44779</v>
      </c>
      <c r="G8" s="2" t="str">
        <f t="shared" ca="1" si="0"/>
        <v>Faltan 22 días</v>
      </c>
      <c r="H8" s="5">
        <f t="shared" ca="1" si="1"/>
        <v>22</v>
      </c>
    </row>
    <row r="10" spans="2:8" x14ac:dyDescent="0.25">
      <c r="B10" s="10" t="s">
        <v>18</v>
      </c>
      <c r="C10" s="11"/>
    </row>
    <row r="11" spans="2:8" x14ac:dyDescent="0.25">
      <c r="B11" s="10" t="s">
        <v>19</v>
      </c>
      <c r="C11" s="12"/>
    </row>
    <row r="12" spans="2:8" x14ac:dyDescent="0.25">
      <c r="B12" s="10" t="s">
        <v>20</v>
      </c>
      <c r="C12" s="13"/>
    </row>
    <row r="13" spans="2:8" x14ac:dyDescent="0.25">
      <c r="B13" s="10" t="s">
        <v>21</v>
      </c>
      <c r="C13" s="14"/>
    </row>
  </sheetData>
  <mergeCells count="1">
    <mergeCell ref="C1:F1"/>
  </mergeCells>
  <conditionalFormatting sqref="G4:G8">
    <cfRule type="expression" dxfId="14" priority="1">
      <formula>$H4&gt;=4</formula>
    </cfRule>
    <cfRule type="expression" dxfId="13" priority="2">
      <formula>AND($H4&gt;0,$H4&lt;4)</formula>
    </cfRule>
    <cfRule type="expression" dxfId="12" priority="3">
      <formula>$H4=0</formula>
    </cfRule>
    <cfRule type="expression" dxfId="11" priority="4">
      <formula>$H4&lt;0</formula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MIRIAN JOHANA</cp:lastModifiedBy>
  <dcterms:created xsi:type="dcterms:W3CDTF">2019-10-17T23:56:04Z</dcterms:created>
  <dcterms:modified xsi:type="dcterms:W3CDTF">2022-07-15T13:08:03Z</dcterms:modified>
</cp:coreProperties>
</file>