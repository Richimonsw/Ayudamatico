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png" ContentType="image/png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IRIAN JOHANA\Downloads\"/>
    </mc:Choice>
  </mc:AlternateContent>
  <xr:revisionPtr revIDLastSave="0" documentId="13_ncr:1_{99EA602D-A546-4B18-A3A8-F94DE116F68D}" xr6:coauthVersionLast="47" xr6:coauthVersionMax="47" xr10:uidLastSave="{00000000-0000-0000-0000-000000000000}"/>
  <bookViews>
    <workbookView xWindow="-120" yWindow="-120" windowWidth="20730" windowHeight="11040" xr2:uid="{00000000-000D-0000-FFFF-FFFF00000000}"/>
  </bookViews>
  <sheets>
    <sheet name="PORTADA" sheetId="5" r:id="rId1"/>
    <sheet name="INFORMACIÓN GENERAL" sheetId="3" r:id="rId2"/>
    <sheet name="PROPUESTA" sheetId="1" r:id="rId3"/>
  </sheets>
  <externalReferences>
    <externalReference r:id="rId4"/>
  </externalReferences>
  <definedNames>
    <definedName name="Cantón">'[1]INFORMACIÓN GENERAL'!$E$59:$E$63</definedName>
    <definedName name="PARROQUIAS">'INFORMACIÓN GENERAL'!$D$11</definedName>
    <definedName name="Provincia">'[1]INFORMACIÓN GENERAL'!$D$59</definedName>
    <definedName name="tipos_cia">'[1]INFORMACIÓN GENERAL'!$F$59:$F$61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5" i="1" l="1"/>
  <c r="G6" i="1"/>
  <c r="G7" i="1"/>
  <c r="G8" i="1"/>
  <c r="G9" i="1"/>
  <c r="C3" i="1"/>
  <c r="I5" i="1" l="1"/>
  <c r="I9" i="1"/>
  <c r="H9" i="1" s="1"/>
  <c r="I8" i="1"/>
  <c r="H8" i="1" s="1"/>
  <c r="I7" i="1"/>
  <c r="H7" i="1" s="1"/>
  <c r="I6" i="1"/>
  <c r="H6" i="1" s="1"/>
  <c r="H3" i="1" l="1"/>
  <c r="F3" i="1"/>
  <c r="G3" i="1"/>
  <c r="H5" i="1"/>
  <c r="E3" i="1"/>
</calcChain>
</file>

<file path=xl/sharedStrings.xml><?xml version="1.0" encoding="utf-8"?>
<sst xmlns="http://schemas.openxmlformats.org/spreadsheetml/2006/main" count="66" uniqueCount="59">
  <si>
    <t>N° Factura</t>
  </si>
  <si>
    <t>Cliente</t>
  </si>
  <si>
    <t>Fecha Emisión</t>
  </si>
  <si>
    <t>Días a vencer</t>
  </si>
  <si>
    <t>Fecha Vencimiento</t>
  </si>
  <si>
    <t>Alertas</t>
  </si>
  <si>
    <t>días</t>
  </si>
  <si>
    <t>Fact_001</t>
  </si>
  <si>
    <t>Molinsa Corp SAC.</t>
  </si>
  <si>
    <t>Fact_002</t>
  </si>
  <si>
    <t>Cajamarca E.I.R.L</t>
  </si>
  <si>
    <t>Fact_003</t>
  </si>
  <si>
    <t>Grupo MTM SAC.</t>
  </si>
  <si>
    <t>Fact_004</t>
  </si>
  <si>
    <t>Imnobiliaria ABF</t>
  </si>
  <si>
    <t>Fact_005</t>
  </si>
  <si>
    <t>Constructora PERL SAC.</t>
  </si>
  <si>
    <t>Vencida</t>
  </si>
  <si>
    <t>Vencen hoy</t>
  </si>
  <si>
    <t xml:space="preserve">Próximo a vencer </t>
  </si>
  <si>
    <t>Pendientes</t>
  </si>
  <si>
    <t>PANZALEO</t>
  </si>
  <si>
    <t>ANTONIO JOSÉ HOLGUÍN</t>
  </si>
  <si>
    <t>LATACUNGA</t>
  </si>
  <si>
    <t>ATAHUALPA</t>
  </si>
  <si>
    <t>SALCEDO</t>
  </si>
  <si>
    <t xml:space="preserve">COTOPAXI </t>
  </si>
  <si>
    <t>DATOS GENERALES</t>
  </si>
  <si>
    <t>BELISARIO QUEVEDO</t>
  </si>
  <si>
    <t>AMBATO</t>
  </si>
  <si>
    <t>TUNGURAGUA</t>
  </si>
  <si>
    <t>GUAYTACAMA</t>
  </si>
  <si>
    <t>JOSEGUANGO BAJO</t>
  </si>
  <si>
    <t>NOMBRE DEL GAD PARROQUIAL:</t>
  </si>
  <si>
    <t>11 DE NOVIEMBRE-ILINCHISI</t>
  </si>
  <si>
    <t>PERÍODO ANALIZADO:</t>
  </si>
  <si>
    <t>CANCHAGUA</t>
  </si>
  <si>
    <t>MULALÓ</t>
  </si>
  <si>
    <t>PROVINCIA:</t>
  </si>
  <si>
    <t>CANTÓN:</t>
  </si>
  <si>
    <t>SAN ANDRÉS DE PÍLLARO</t>
  </si>
  <si>
    <t>CHANTILÍN</t>
  </si>
  <si>
    <t>UNAMUNCHO</t>
  </si>
  <si>
    <t>RUC :</t>
  </si>
  <si>
    <t>DIRECCIÓN:</t>
  </si>
  <si>
    <t>MARCOS ESPINEL</t>
  </si>
  <si>
    <t>TELÉFONOS :</t>
  </si>
  <si>
    <t>CORREO ELECTRÓNICO:</t>
  </si>
  <si>
    <t>REPRESENTANTE LEGAL DEL GAD</t>
  </si>
  <si>
    <t>NOMBRE DEL REPRESENTANTE LEGAL:</t>
  </si>
  <si>
    <t>CORREO ELECTRÓNICO :</t>
  </si>
  <si>
    <t>CARGO DEL REPRESENTANTE LEGAL:</t>
  </si>
  <si>
    <t>FECHA DE DESIGNACIÓN:</t>
  </si>
  <si>
    <t>RESPONSABLE DE LA EJECUCIÓN DEL PLAN DE MITIGACIÓN DE RIESGO</t>
  </si>
  <si>
    <t>NOMBRE DEL RESPONSABLE:</t>
  </si>
  <si>
    <t>CARGO:</t>
  </si>
  <si>
    <t xml:space="preserve">PROPUESTA </t>
  </si>
  <si>
    <t>Modelo de cronograma de vencimientos para evitar recargos, multas e intereses aplicable a los GAD parroquiales Rurales en conformidad a las Normas de Control Interno de la Contraloría General del Estado</t>
  </si>
  <si>
    <t xml:space="preserve">Interpretación: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</si>
</sst>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entury Gothic"/>
      <family val="2"/>
    </font>
    <font>
      <b/>
      <sz val="11"/>
      <color theme="1"/>
      <name val="Century Gothic"/>
      <family val="2"/>
    </font>
    <font>
      <sz val="11"/>
      <color theme="0"/>
      <name val="Century Gothic"/>
      <family val="2"/>
    </font>
    <font>
      <b/>
      <sz val="8"/>
      <color theme="1" tint="4.9989318521683403E-2"/>
      <name val="Century Gothic"/>
      <family val="2"/>
    </font>
    <font>
      <sz val="9"/>
      <color theme="1"/>
      <name val="Century Gothic"/>
      <family val="2"/>
    </font>
    <font>
      <sz val="10"/>
      <color rgb="FF00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theme="1"/>
      <name val="Century Gothic"/>
      <family val="2"/>
    </font>
    <font>
      <u/>
      <sz val="11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rgb="FF00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/>
        <bgColor indexed="64"/>
      </patternFill>
    </fill>
  </fills>
  <borders count="4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/>
      <right/>
      <top style="medium">
        <color rgb="FFFF0000"/>
      </top>
      <bottom/>
      <diagonal/>
    </border>
    <border>
      <left/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/>
      <top/>
      <bottom/>
      <diagonal/>
    </border>
    <border>
      <left style="medium">
        <color rgb="FF00B050"/>
      </left>
      <right/>
      <top style="medium">
        <color rgb="FF00B050"/>
      </top>
      <bottom/>
      <diagonal/>
    </border>
    <border>
      <left/>
      <right/>
      <top style="medium">
        <color rgb="FF00B050"/>
      </top>
      <bottom/>
      <diagonal/>
    </border>
    <border>
      <left/>
      <right style="medium">
        <color rgb="FF00B050"/>
      </right>
      <top style="medium">
        <color rgb="FF00B050"/>
      </top>
      <bottom/>
      <diagonal/>
    </border>
    <border>
      <left/>
      <right style="medium">
        <color rgb="FFFF0000"/>
      </right>
      <top/>
      <bottom/>
      <diagonal/>
    </border>
    <border>
      <left style="medium">
        <color rgb="FF00B050"/>
      </left>
      <right/>
      <top/>
      <bottom/>
      <diagonal/>
    </border>
    <border>
      <left/>
      <right style="medium">
        <color rgb="FF00B050"/>
      </right>
      <top/>
      <bottom/>
      <diagonal/>
    </border>
    <border>
      <left style="medium">
        <color theme="2"/>
      </left>
      <right/>
      <top style="medium">
        <color theme="2"/>
      </top>
      <bottom style="medium">
        <color theme="2"/>
      </bottom>
      <diagonal/>
    </border>
    <border>
      <left/>
      <right/>
      <top style="medium">
        <color theme="2"/>
      </top>
      <bottom style="medium">
        <color theme="2"/>
      </bottom>
      <diagonal/>
    </border>
    <border>
      <left/>
      <right style="medium">
        <color theme="2"/>
      </right>
      <top style="medium">
        <color theme="2"/>
      </top>
      <bottom style="medium">
        <color theme="2"/>
      </bottom>
      <diagonal/>
    </border>
    <border>
      <left style="medium">
        <color rgb="FF00B050"/>
      </left>
      <right/>
      <top/>
      <bottom style="medium">
        <color rgb="FF00B050"/>
      </bottom>
      <diagonal/>
    </border>
    <border>
      <left/>
      <right/>
      <top/>
      <bottom style="medium">
        <color rgb="FF00B050"/>
      </bottom>
      <diagonal/>
    </border>
    <border>
      <left/>
      <right style="medium">
        <color rgb="FF00B050"/>
      </right>
      <top/>
      <bottom style="medium">
        <color rgb="FF00B050"/>
      </bottom>
      <diagonal/>
    </border>
    <border>
      <left style="medium">
        <color rgb="FFFF0000"/>
      </left>
      <right/>
      <top/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/>
      <right style="medium">
        <color rgb="FFFF0000"/>
      </right>
      <top/>
      <bottom style="medium">
        <color rgb="FFFF0000"/>
      </bottom>
      <diagonal/>
    </border>
  </borders>
  <cellStyleXfs count="4">
    <xf numFmtId="0" fontId="0" fillId="0" borderId="0"/>
    <xf numFmtId="0" fontId="7" fillId="0" borderId="0"/>
    <xf numFmtId="0" fontId="1" fillId="0" borderId="0"/>
    <xf numFmtId="0" fontId="10" fillId="0" borderId="0" applyNumberFormat="0" applyFill="0" applyBorder="0" applyAlignment="0" applyProtection="0"/>
  </cellStyleXfs>
  <cellXfs count="98">
    <xf numFmtId="0" fontId="0" fillId="0" borderId="0" xfId="0"/>
    <xf numFmtId="0" fontId="2" fillId="0" borderId="0" xfId="0" applyFont="1"/>
    <xf numFmtId="0" fontId="5" fillId="2" borderId="5" xfId="0" applyFont="1" applyFill="1" applyBorder="1" applyAlignment="1">
      <alignment horizontal="center" vertical="center"/>
    </xf>
    <xf numFmtId="0" fontId="6" fillId="0" borderId="1" xfId="0" applyFont="1" applyBorder="1"/>
    <xf numFmtId="0" fontId="6" fillId="0" borderId="5" xfId="0" applyFont="1" applyBorder="1"/>
    <xf numFmtId="0" fontId="0" fillId="7" borderId="0" xfId="0" applyFill="1"/>
    <xf numFmtId="0" fontId="0" fillId="8" borderId="0" xfId="0" applyFill="1"/>
    <xf numFmtId="0" fontId="0" fillId="8" borderId="8" xfId="0" applyFill="1" applyBorder="1"/>
    <xf numFmtId="0" fontId="0" fillId="8" borderId="9" xfId="0" applyFill="1" applyBorder="1"/>
    <xf numFmtId="0" fontId="0" fillId="8" borderId="10" xfId="0" applyFill="1" applyBorder="1"/>
    <xf numFmtId="0" fontId="0" fillId="8" borderId="11" xfId="0" applyFill="1" applyBorder="1"/>
    <xf numFmtId="0" fontId="0" fillId="8" borderId="0" xfId="0" applyFill="1" applyBorder="1"/>
    <xf numFmtId="0" fontId="0" fillId="8" borderId="12" xfId="0" applyFill="1" applyBorder="1"/>
    <xf numFmtId="0" fontId="8" fillId="0" borderId="0" xfId="1" applyFont="1" applyAlignment="1"/>
    <xf numFmtId="0" fontId="3" fillId="8" borderId="0" xfId="2" applyFont="1" applyFill="1" applyBorder="1" applyAlignment="1">
      <alignment horizontal="center" vertical="center"/>
    </xf>
    <xf numFmtId="1" fontId="2" fillId="8" borderId="0" xfId="2" applyNumberFormat="1" applyFont="1" applyFill="1" applyBorder="1" applyAlignment="1">
      <alignment horizontal="center" vertical="center"/>
    </xf>
    <xf numFmtId="0" fontId="2" fillId="8" borderId="0" xfId="2" applyFont="1" applyFill="1" applyBorder="1" applyAlignment="1">
      <alignment horizontal="center" vertical="center"/>
    </xf>
    <xf numFmtId="0" fontId="0" fillId="8" borderId="18" xfId="0" applyFill="1" applyBorder="1"/>
    <xf numFmtId="0" fontId="0" fillId="8" borderId="19" xfId="0" applyFill="1" applyBorder="1"/>
    <xf numFmtId="0" fontId="0" fillId="8" borderId="20" xfId="0" applyFill="1" applyBorder="1"/>
    <xf numFmtId="0" fontId="6" fillId="8" borderId="4" xfId="0" applyFont="1" applyFill="1" applyBorder="1"/>
    <xf numFmtId="0" fontId="6" fillId="8" borderId="1" xfId="0" applyFont="1" applyFill="1" applyBorder="1"/>
    <xf numFmtId="14" fontId="6" fillId="8" borderId="1" xfId="0" applyNumberFormat="1" applyFont="1" applyFill="1" applyBorder="1"/>
    <xf numFmtId="0" fontId="5" fillId="10" borderId="3" xfId="0" applyFont="1" applyFill="1" applyBorder="1" applyAlignment="1">
      <alignment horizontal="center" vertical="center"/>
    </xf>
    <xf numFmtId="0" fontId="5" fillId="10" borderId="1" xfId="0" applyFont="1" applyFill="1" applyBorder="1" applyAlignment="1">
      <alignment horizontal="center" vertical="center"/>
    </xf>
    <xf numFmtId="0" fontId="0" fillId="9" borderId="0" xfId="0" applyFill="1"/>
    <xf numFmtId="0" fontId="0" fillId="9" borderId="21" xfId="0" applyFill="1" applyBorder="1"/>
    <xf numFmtId="0" fontId="0" fillId="9" borderId="22" xfId="0" applyFill="1" applyBorder="1"/>
    <xf numFmtId="0" fontId="0" fillId="9" borderId="23" xfId="0" applyFill="1" applyBorder="1"/>
    <xf numFmtId="0" fontId="0" fillId="9" borderId="24" xfId="0" applyFill="1" applyBorder="1"/>
    <xf numFmtId="0" fontId="0" fillId="9" borderId="25" xfId="0" applyFill="1" applyBorder="1"/>
    <xf numFmtId="0" fontId="0" fillId="9" borderId="26" xfId="0" applyFill="1" applyBorder="1"/>
    <xf numFmtId="0" fontId="0" fillId="9" borderId="27" xfId="0" applyFill="1" applyBorder="1"/>
    <xf numFmtId="0" fontId="0" fillId="9" borderId="28" xfId="0" applyFill="1" applyBorder="1"/>
    <xf numFmtId="0" fontId="0" fillId="9" borderId="29" xfId="0" applyFill="1" applyBorder="1"/>
    <xf numFmtId="0" fontId="0" fillId="9" borderId="0" xfId="0" applyFill="1" applyBorder="1"/>
    <xf numFmtId="0" fontId="0" fillId="9" borderId="30" xfId="0" applyFill="1" applyBorder="1"/>
    <xf numFmtId="0" fontId="11" fillId="9" borderId="29" xfId="0" applyFont="1" applyFill="1" applyBorder="1"/>
    <xf numFmtId="0" fontId="11" fillId="9" borderId="0" xfId="0" applyFont="1" applyFill="1" applyBorder="1"/>
    <xf numFmtId="0" fontId="11" fillId="9" borderId="30" xfId="0" applyFont="1" applyFill="1" applyBorder="1"/>
    <xf numFmtId="0" fontId="11" fillId="9" borderId="29" xfId="0" applyFont="1" applyFill="1" applyBorder="1" applyAlignment="1">
      <alignment vertical="center"/>
    </xf>
    <xf numFmtId="0" fontId="12" fillId="9" borderId="30" xfId="0" applyFont="1" applyFill="1" applyBorder="1" applyAlignment="1">
      <alignment vertical="center"/>
    </xf>
    <xf numFmtId="0" fontId="11" fillId="9" borderId="29" xfId="0" applyFont="1" applyFill="1" applyBorder="1" applyAlignment="1">
      <alignment vertical="center" wrapText="1"/>
    </xf>
    <xf numFmtId="0" fontId="11" fillId="9" borderId="0" xfId="0" applyFont="1" applyFill="1" applyBorder="1" applyAlignment="1">
      <alignment vertical="center" wrapText="1"/>
    </xf>
    <xf numFmtId="0" fontId="11" fillId="9" borderId="30" xfId="0" applyFont="1" applyFill="1" applyBorder="1" applyAlignment="1">
      <alignment vertical="center" wrapText="1"/>
    </xf>
    <xf numFmtId="0" fontId="11" fillId="9" borderId="34" xfId="0" applyFont="1" applyFill="1" applyBorder="1" applyAlignment="1">
      <alignment vertical="center" wrapText="1"/>
    </xf>
    <xf numFmtId="0" fontId="11" fillId="9" borderId="35" xfId="0" applyFont="1" applyFill="1" applyBorder="1" applyAlignment="1">
      <alignment vertical="center" wrapText="1"/>
    </xf>
    <xf numFmtId="0" fontId="11" fillId="9" borderId="36" xfId="0" applyFont="1" applyFill="1" applyBorder="1" applyAlignment="1">
      <alignment vertical="center" wrapText="1"/>
    </xf>
    <xf numFmtId="0" fontId="0" fillId="9" borderId="37" xfId="0" applyFill="1" applyBorder="1"/>
    <xf numFmtId="0" fontId="0" fillId="9" borderId="38" xfId="0" applyFill="1" applyBorder="1"/>
    <xf numFmtId="0" fontId="0" fillId="9" borderId="39" xfId="0" applyFill="1" applyBorder="1"/>
    <xf numFmtId="14" fontId="2" fillId="9" borderId="2" xfId="0" applyNumberFormat="1" applyFont="1" applyFill="1" applyBorder="1"/>
    <xf numFmtId="0" fontId="2" fillId="9" borderId="8" xfId="0" applyFont="1" applyFill="1" applyBorder="1"/>
    <xf numFmtId="0" fontId="2" fillId="9" borderId="9" xfId="0" applyFont="1" applyFill="1" applyBorder="1"/>
    <xf numFmtId="0" fontId="2" fillId="9" borderId="10" xfId="0" applyFont="1" applyFill="1" applyBorder="1"/>
    <xf numFmtId="0" fontId="2" fillId="9" borderId="11" xfId="0" applyFont="1" applyFill="1" applyBorder="1"/>
    <xf numFmtId="0" fontId="2" fillId="9" borderId="0" xfId="0" applyFont="1" applyFill="1" applyBorder="1"/>
    <xf numFmtId="0" fontId="4" fillId="9" borderId="0" xfId="0" applyFont="1" applyFill="1" applyBorder="1"/>
    <xf numFmtId="0" fontId="2" fillId="9" borderId="12" xfId="0" applyFont="1" applyFill="1" applyBorder="1"/>
    <xf numFmtId="0" fontId="2" fillId="3" borderId="0" xfId="0" applyFont="1" applyFill="1" applyBorder="1"/>
    <xf numFmtId="0" fontId="2" fillId="4" borderId="0" xfId="0" applyFont="1" applyFill="1" applyBorder="1"/>
    <xf numFmtId="0" fontId="2" fillId="5" borderId="0" xfId="0" applyFont="1" applyFill="1" applyBorder="1"/>
    <xf numFmtId="0" fontId="2" fillId="6" borderId="0" xfId="0" applyFont="1" applyFill="1" applyBorder="1"/>
    <xf numFmtId="0" fontId="2" fillId="9" borderId="18" xfId="0" applyFont="1" applyFill="1" applyBorder="1"/>
    <xf numFmtId="0" fontId="2" fillId="9" borderId="19" xfId="0" applyFont="1" applyFill="1" applyBorder="1"/>
    <xf numFmtId="0" fontId="2" fillId="9" borderId="20" xfId="0" applyFont="1" applyFill="1" applyBorder="1"/>
    <xf numFmtId="0" fontId="3" fillId="9" borderId="0" xfId="0" applyFont="1" applyFill="1" applyBorder="1"/>
    <xf numFmtId="0" fontId="12" fillId="6" borderId="31" xfId="0" applyFont="1" applyFill="1" applyBorder="1" applyAlignment="1">
      <alignment horizontal="center" vertical="center"/>
    </xf>
    <xf numFmtId="0" fontId="12" fillId="6" borderId="32" xfId="0" applyFont="1" applyFill="1" applyBorder="1" applyAlignment="1">
      <alignment horizontal="center" vertical="center"/>
    </xf>
    <xf numFmtId="0" fontId="12" fillId="6" borderId="33" xfId="0" applyFont="1" applyFill="1" applyBorder="1" applyAlignment="1">
      <alignment horizontal="center" vertical="center"/>
    </xf>
    <xf numFmtId="0" fontId="9" fillId="9" borderId="0" xfId="0" applyFont="1" applyFill="1" applyBorder="1" applyAlignment="1">
      <alignment horizontal="center" vertical="center" wrapText="1"/>
    </xf>
    <xf numFmtId="0" fontId="3" fillId="6" borderId="1" xfId="2" applyFont="1" applyFill="1" applyBorder="1" applyAlignment="1">
      <alignment horizontal="center" vertical="center" wrapText="1"/>
    </xf>
    <xf numFmtId="1" fontId="2" fillId="8" borderId="13" xfId="2" applyNumberFormat="1" applyFont="1" applyFill="1" applyBorder="1" applyAlignment="1">
      <alignment horizontal="center" vertical="center"/>
    </xf>
    <xf numFmtId="1" fontId="2" fillId="8" borderId="15" xfId="2" applyNumberFormat="1" applyFont="1" applyFill="1" applyBorder="1" applyAlignment="1">
      <alignment horizontal="center" vertical="center"/>
    </xf>
    <xf numFmtId="1" fontId="2" fillId="8" borderId="6" xfId="2" applyNumberFormat="1" applyFont="1" applyFill="1" applyBorder="1" applyAlignment="1">
      <alignment horizontal="center" vertical="center"/>
    </xf>
    <xf numFmtId="1" fontId="2" fillId="8" borderId="3" xfId="2" applyNumberFormat="1" applyFont="1" applyFill="1" applyBorder="1" applyAlignment="1">
      <alignment horizontal="center" vertical="center"/>
    </xf>
    <xf numFmtId="0" fontId="3" fillId="6" borderId="16" xfId="2" applyFont="1" applyFill="1" applyBorder="1" applyAlignment="1">
      <alignment horizontal="center" vertical="center" wrapText="1"/>
    </xf>
    <xf numFmtId="0" fontId="3" fillId="6" borderId="17" xfId="2" applyFont="1" applyFill="1" applyBorder="1" applyAlignment="1">
      <alignment horizontal="center" vertical="center" wrapText="1"/>
    </xf>
    <xf numFmtId="0" fontId="3" fillId="6" borderId="13" xfId="2" applyFont="1" applyFill="1" applyBorder="1" applyAlignment="1">
      <alignment horizontal="center" vertical="center" wrapText="1"/>
    </xf>
    <xf numFmtId="0" fontId="3" fillId="6" borderId="6" xfId="2" applyFont="1" applyFill="1" applyBorder="1" applyAlignment="1">
      <alignment horizontal="center" vertical="center" wrapText="1"/>
    </xf>
    <xf numFmtId="0" fontId="9" fillId="6" borderId="13" xfId="2" applyFont="1" applyFill="1" applyBorder="1" applyAlignment="1">
      <alignment horizontal="center" vertical="center" wrapText="1"/>
    </xf>
    <xf numFmtId="0" fontId="9" fillId="6" borderId="14" xfId="2" applyFont="1" applyFill="1" applyBorder="1" applyAlignment="1">
      <alignment horizontal="center" vertical="center" wrapText="1"/>
    </xf>
    <xf numFmtId="0" fontId="9" fillId="6" borderId="15" xfId="2" applyFont="1" applyFill="1" applyBorder="1" applyAlignment="1">
      <alignment horizontal="center" vertical="center" wrapText="1"/>
    </xf>
    <xf numFmtId="0" fontId="9" fillId="6" borderId="6" xfId="2" applyFont="1" applyFill="1" applyBorder="1" applyAlignment="1">
      <alignment horizontal="center" vertical="center" wrapText="1"/>
    </xf>
    <xf numFmtId="0" fontId="9" fillId="6" borderId="7" xfId="2" applyFont="1" applyFill="1" applyBorder="1" applyAlignment="1">
      <alignment horizontal="center" vertical="center" wrapText="1"/>
    </xf>
    <xf numFmtId="0" fontId="9" fillId="6" borderId="3" xfId="2" applyFont="1" applyFill="1" applyBorder="1" applyAlignment="1">
      <alignment horizontal="center" vertical="center" wrapText="1"/>
    </xf>
    <xf numFmtId="0" fontId="9" fillId="6" borderId="1" xfId="2" applyFont="1" applyFill="1" applyBorder="1" applyAlignment="1">
      <alignment horizontal="center" vertical="center" wrapText="1"/>
    </xf>
    <xf numFmtId="0" fontId="2" fillId="8" borderId="13" xfId="2" applyFont="1" applyFill="1" applyBorder="1" applyAlignment="1">
      <alignment horizontal="center" vertical="center"/>
    </xf>
    <xf numFmtId="0" fontId="2" fillId="8" borderId="15" xfId="2" applyFont="1" applyFill="1" applyBorder="1" applyAlignment="1">
      <alignment horizontal="center" vertical="center"/>
    </xf>
    <xf numFmtId="0" fontId="2" fillId="8" borderId="6" xfId="2" applyFont="1" applyFill="1" applyBorder="1" applyAlignment="1">
      <alignment horizontal="center" vertical="center"/>
    </xf>
    <xf numFmtId="0" fontId="2" fillId="8" borderId="3" xfId="2" applyFont="1" applyFill="1" applyBorder="1" applyAlignment="1">
      <alignment horizontal="center" vertical="center"/>
    </xf>
    <xf numFmtId="0" fontId="2" fillId="8" borderId="13" xfId="2" applyFont="1" applyFill="1" applyBorder="1" applyAlignment="1">
      <alignment horizontal="center" vertical="center" wrapText="1"/>
    </xf>
    <xf numFmtId="0" fontId="2" fillId="8" borderId="15" xfId="2" applyFont="1" applyFill="1" applyBorder="1" applyAlignment="1">
      <alignment horizontal="center" vertical="center" wrapText="1"/>
    </xf>
    <xf numFmtId="0" fontId="2" fillId="8" borderId="6" xfId="2" applyFont="1" applyFill="1" applyBorder="1" applyAlignment="1">
      <alignment horizontal="center" vertical="center" wrapText="1"/>
    </xf>
    <xf numFmtId="0" fontId="2" fillId="8" borderId="3" xfId="2" applyFont="1" applyFill="1" applyBorder="1" applyAlignment="1">
      <alignment horizontal="center" vertical="center" wrapText="1"/>
    </xf>
    <xf numFmtId="0" fontId="10" fillId="8" borderId="13" xfId="3" applyFill="1" applyBorder="1" applyAlignment="1">
      <alignment horizontal="center" vertical="center"/>
    </xf>
    <xf numFmtId="1" fontId="2" fillId="8" borderId="1" xfId="2" applyNumberFormat="1" applyFont="1" applyFill="1" applyBorder="1" applyAlignment="1">
      <alignment horizontal="center" vertical="center"/>
    </xf>
    <xf numFmtId="0" fontId="3" fillId="9" borderId="9" xfId="0" applyFont="1" applyFill="1" applyBorder="1" applyAlignment="1">
      <alignment horizontal="center"/>
    </xf>
  </cellXfs>
  <cellStyles count="4">
    <cellStyle name="Hipervínculo" xfId="3" builtinId="8"/>
    <cellStyle name="Normal" xfId="0" builtinId="0"/>
    <cellStyle name="Normal 2" xfId="2" xr:uid="{00000000-0005-0000-0000-000002000000}"/>
    <cellStyle name="Normal 3" xfId="1" xr:uid="{00000000-0005-0000-0000-000003000000}"/>
  </cellStyles>
  <dxfs count="16"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none"/>
      </font>
      <numFmt numFmtId="164" formatCode="d/mm/yyyy"/>
      <fill>
        <patternFill patternType="solid">
          <fgColor indexed="64"/>
          <bgColor theme="9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none"/>
      </font>
      <fill>
        <patternFill patternType="solid">
          <fgColor indexed="64"/>
          <bgColor theme="9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none"/>
      </font>
      <numFmt numFmtId="164" formatCode="d/mm/yyyy"/>
      <fill>
        <patternFill patternType="solid">
          <fgColor indexed="64"/>
          <bgColor theme="9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none"/>
      </font>
      <fill>
        <patternFill patternType="solid">
          <fgColor indexed="64"/>
          <bgColor theme="9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none"/>
      </font>
      <fill>
        <patternFill patternType="solid">
          <fgColor indexed="64"/>
          <bgColor theme="9" tint="0.59999389629810485"/>
        </patternFill>
      </fill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Century Gothic"/>
        <scheme val="none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 tint="4.9989318521683403E-2"/>
        <name val="Century Gothic"/>
        <scheme val="none"/>
      </font>
      <fill>
        <patternFill patternType="solid">
          <fgColor indexed="64"/>
          <bgColor theme="7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INFORMACI&#211;N GENERAL'!A1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#PROPUESTA!A1"/><Relationship Id="rId1" Type="http://schemas.openxmlformats.org/officeDocument/2006/relationships/hyperlink" Target="#PORTADA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19049</xdr:colOff>
      <xdr:row>3</xdr:row>
      <xdr:rowOff>76198</xdr:rowOff>
    </xdr:from>
    <xdr:to>
      <xdr:col>8</xdr:col>
      <xdr:colOff>478630</xdr:colOff>
      <xdr:row>9</xdr:row>
      <xdr:rowOff>13198</xdr:rowOff>
    </xdr:to>
    <xdr:pic>
      <xdr:nvPicPr>
        <xdr:cNvPr id="2" name="Imagen 1" descr="ESPE | Sede Latacunga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29213"/>
        <a:stretch/>
      </xdr:blipFill>
      <xdr:spPr bwMode="auto">
        <a:xfrm>
          <a:off x="1647824" y="552448"/>
          <a:ext cx="4269581" cy="108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8</xdr:col>
      <xdr:colOff>533400</xdr:colOff>
      <xdr:row>3</xdr:row>
      <xdr:rowOff>161925</xdr:rowOff>
    </xdr:from>
    <xdr:to>
      <xdr:col>9</xdr:col>
      <xdr:colOff>609600</xdr:colOff>
      <xdr:row>7</xdr:row>
      <xdr:rowOff>119925</xdr:rowOff>
    </xdr:to>
    <xdr:sp macro="" textlink="">
      <xdr:nvSpPr>
        <xdr:cNvPr id="3" name="Flecha: a la derecha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972175" y="638175"/>
          <a:ext cx="1181100" cy="720000"/>
        </a:xfrm>
        <a:prstGeom prst="rightArrow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C" sz="2000" b="0">
              <a:solidFill>
                <a:sysClr val="windowText" lastClr="000000"/>
              </a:solidFill>
              <a:latin typeface="DilleniaUPC" panose="02020603050405020304" pitchFamily="18" charset="-34"/>
              <a:cs typeface="DilleniaUPC" panose="02020603050405020304" pitchFamily="18" charset="-34"/>
            </a:rPr>
            <a:t>INICIAR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466725</xdr:colOff>
      <xdr:row>1</xdr:row>
      <xdr:rowOff>28575</xdr:rowOff>
    </xdr:from>
    <xdr:to>
      <xdr:col>9</xdr:col>
      <xdr:colOff>390524</xdr:colOff>
      <xdr:row>5</xdr:row>
      <xdr:rowOff>152400</xdr:rowOff>
    </xdr:to>
    <xdr:sp macro="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228725" y="228600"/>
          <a:ext cx="7877174" cy="895350"/>
        </a:xfrm>
        <a:prstGeom prst="rect">
          <a:avLst/>
        </a:prstGeom>
        <a:solidFill>
          <a:schemeClr val="accent6">
            <a:lumMod val="75000"/>
          </a:schemeClr>
        </a:solidFill>
        <a:ln>
          <a:solidFill>
            <a:schemeClr val="bg1">
              <a:lumMod val="95000"/>
            </a:schemeClr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EC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323850</xdr:colOff>
      <xdr:row>1</xdr:row>
      <xdr:rowOff>38100</xdr:rowOff>
    </xdr:from>
    <xdr:to>
      <xdr:col>9</xdr:col>
      <xdr:colOff>457200</xdr:colOff>
      <xdr:row>5</xdr:row>
      <xdr:rowOff>47625</xdr:rowOff>
    </xdr:to>
    <xdr:sp macro="" textlink="">
      <xdr:nvSpPr>
        <xdr:cNvPr id="3" name="CuadroTexto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1847850" y="238125"/>
          <a:ext cx="7324725" cy="7810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EC" sz="6000" b="1">
              <a:latin typeface="DilleniaUPC" panose="020B0502040204020203" pitchFamily="18" charset="-34"/>
              <a:cs typeface="DilleniaUPC" panose="020B0502040204020203" pitchFamily="18" charset="-34"/>
            </a:rPr>
            <a:t>INFORMACIÓN</a:t>
          </a:r>
          <a:r>
            <a:rPr lang="es-EC" sz="6000" b="1" baseline="0">
              <a:latin typeface="DilleniaUPC" panose="020B0502040204020203" pitchFamily="18" charset="-34"/>
              <a:cs typeface="DilleniaUPC" panose="020B0502040204020203" pitchFamily="18" charset="-34"/>
            </a:rPr>
            <a:t> GENERAL</a:t>
          </a:r>
          <a:endParaRPr lang="es-EC" sz="6000" b="1">
            <a:latin typeface="DilleniaUPC" panose="020B0502040204020203" pitchFamily="18" charset="-34"/>
            <a:cs typeface="DilleniaUPC" panose="020B0502040204020203" pitchFamily="18" charset="-34"/>
          </a:endParaRPr>
        </a:p>
      </xdr:txBody>
    </xdr:sp>
    <xdr:clientData/>
  </xdr:twoCellAnchor>
  <xdr:twoCellAnchor>
    <xdr:from>
      <xdr:col>3</xdr:col>
      <xdr:colOff>266700</xdr:colOff>
      <xdr:row>46</xdr:row>
      <xdr:rowOff>28574</xdr:rowOff>
    </xdr:from>
    <xdr:to>
      <xdr:col>4</xdr:col>
      <xdr:colOff>1219200</xdr:colOff>
      <xdr:row>50</xdr:row>
      <xdr:rowOff>180975</xdr:rowOff>
    </xdr:to>
    <xdr:sp macro="" textlink="">
      <xdr:nvSpPr>
        <xdr:cNvPr id="4" name="Flecha: hacia la izquierda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3171825" y="8943974"/>
          <a:ext cx="1714500" cy="914401"/>
        </a:xfrm>
        <a:prstGeom prst="leftArrow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C" sz="2000">
              <a:latin typeface="DilleniaUPC" panose="02020603050405020304" pitchFamily="18" charset="-34"/>
              <a:cs typeface="DilleniaUPC" panose="02020603050405020304" pitchFamily="18" charset="-34"/>
            </a:rPr>
            <a:t>PORTADA</a:t>
          </a:r>
        </a:p>
      </xdr:txBody>
    </xdr:sp>
    <xdr:clientData/>
  </xdr:twoCellAnchor>
  <xdr:twoCellAnchor>
    <xdr:from>
      <xdr:col>5</xdr:col>
      <xdr:colOff>219076</xdr:colOff>
      <xdr:row>46</xdr:row>
      <xdr:rowOff>19050</xdr:rowOff>
    </xdr:from>
    <xdr:to>
      <xdr:col>7</xdr:col>
      <xdr:colOff>285750</xdr:colOff>
      <xdr:row>51</xdr:row>
      <xdr:rowOff>15150</xdr:rowOff>
    </xdr:to>
    <xdr:sp macro="" textlink="">
      <xdr:nvSpPr>
        <xdr:cNvPr id="5" name="Flecha: a la derecha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5381626" y="8934450"/>
          <a:ext cx="1743074" cy="948600"/>
        </a:xfrm>
        <a:prstGeom prst="rightArrow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C" sz="2000" b="0">
              <a:latin typeface="DilleniaUPC" panose="02020603050405020304" pitchFamily="18" charset="-34"/>
              <a:cs typeface="DilleniaUPC" panose="02020603050405020304" pitchFamily="18" charset="-34"/>
            </a:rPr>
            <a:t>SIGUIENTE</a:t>
          </a:r>
        </a:p>
      </xdr:txBody>
    </xdr:sp>
    <xdr:clientData/>
  </xdr:twoCellAnchor>
  <xdr:twoCellAnchor editAs="oneCell">
    <xdr:from>
      <xdr:col>1</xdr:col>
      <xdr:colOff>647700</xdr:colOff>
      <xdr:row>1</xdr:row>
      <xdr:rowOff>76200</xdr:rowOff>
    </xdr:from>
    <xdr:to>
      <xdr:col>2</xdr:col>
      <xdr:colOff>528714</xdr:colOff>
      <xdr:row>5</xdr:row>
      <xdr:rowOff>9525</xdr:rowOff>
    </xdr:to>
    <xdr:pic>
      <xdr:nvPicPr>
        <xdr:cNvPr id="6" name="Imagen 5" descr="ESPE | Sede Latacunga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-4410" r="82944"/>
        <a:stretch/>
      </xdr:blipFill>
      <xdr:spPr bwMode="auto">
        <a:xfrm>
          <a:off x="1409700" y="276225"/>
          <a:ext cx="643014" cy="704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977348</xdr:colOff>
      <xdr:row>1</xdr:row>
      <xdr:rowOff>173935</xdr:rowOff>
    </xdr:from>
    <xdr:to>
      <xdr:col>10</xdr:col>
      <xdr:colOff>1101587</xdr:colOff>
      <xdr:row>1</xdr:row>
      <xdr:rowOff>877957</xdr:rowOff>
    </xdr:to>
    <xdr:sp macro="" textlink="">
      <xdr:nvSpPr>
        <xdr:cNvPr id="6" name="Rectángulo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1921565" y="173935"/>
          <a:ext cx="7843631" cy="704022"/>
        </a:xfrm>
        <a:prstGeom prst="rect">
          <a:avLst/>
        </a:prstGeom>
        <a:solidFill>
          <a:schemeClr val="accent6">
            <a:lumMod val="75000"/>
          </a:schemeClr>
        </a:solidFill>
        <a:ln>
          <a:solidFill>
            <a:schemeClr val="bg1">
              <a:lumMod val="95000"/>
            </a:schemeClr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EC" sz="1100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2</xdr:col>
      <xdr:colOff>977348</xdr:colOff>
      <xdr:row>1</xdr:row>
      <xdr:rowOff>173935</xdr:rowOff>
    </xdr:from>
    <xdr:to>
      <xdr:col>3</xdr:col>
      <xdr:colOff>518775</xdr:colOff>
      <xdr:row>1</xdr:row>
      <xdr:rowOff>878785</xdr:rowOff>
    </xdr:to>
    <xdr:pic>
      <xdr:nvPicPr>
        <xdr:cNvPr id="7" name="Imagen 6" descr="ESPE | Sede Latacunga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-4410" r="82944"/>
        <a:stretch/>
      </xdr:blipFill>
      <xdr:spPr bwMode="auto">
        <a:xfrm>
          <a:off x="1921565" y="173935"/>
          <a:ext cx="643014" cy="704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977348</xdr:colOff>
      <xdr:row>1</xdr:row>
      <xdr:rowOff>173935</xdr:rowOff>
    </xdr:from>
    <xdr:to>
      <xdr:col>11</xdr:col>
      <xdr:colOff>532986</xdr:colOff>
      <xdr:row>1</xdr:row>
      <xdr:rowOff>954985</xdr:rowOff>
    </xdr:to>
    <xdr:sp macro="" textlink="">
      <xdr:nvSpPr>
        <xdr:cNvPr id="10" name="CuadroTexto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 txBox="1"/>
      </xdr:nvSpPr>
      <xdr:spPr>
        <a:xfrm>
          <a:off x="1921565" y="173935"/>
          <a:ext cx="8492573" cy="7810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EC" sz="4400" b="1">
              <a:latin typeface="DilleniaUPC" panose="020B0502040204020203" pitchFamily="18" charset="-34"/>
              <a:cs typeface="DilleniaUPC" panose="020B0502040204020203" pitchFamily="18" charset="-34"/>
            </a:rPr>
            <a:t>CRONOGRAMA DE VENCIMIENTO</a:t>
          </a:r>
        </a:p>
      </xdr:txBody>
    </xdr:sp>
    <xdr:clientData/>
  </xdr:twoCellAnchor>
  <xdr:twoCellAnchor editAs="oneCell">
    <xdr:from>
      <xdr:col>9</xdr:col>
      <xdr:colOff>386798</xdr:colOff>
      <xdr:row>1</xdr:row>
      <xdr:rowOff>971550</xdr:rowOff>
    </xdr:from>
    <xdr:to>
      <xdr:col>10</xdr:col>
      <xdr:colOff>0</xdr:colOff>
      <xdr:row>3</xdr:row>
      <xdr:rowOff>62948</xdr:rowOff>
    </xdr:to>
    <xdr:pic>
      <xdr:nvPicPr>
        <xdr:cNvPr id="24" name="Imagen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88407" y="971550"/>
          <a:ext cx="375202" cy="37520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elian/Downloads/modelo%20final_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ORTADA"/>
      <sheetName val="INSTRUCCIONES"/>
      <sheetName val="ÍNDICE"/>
      <sheetName val="INFORMACIÓN GENERAL"/>
      <sheetName val="ESTADO DE SITUACIÓN FINANCIERA"/>
      <sheetName val="ESTADO DE RESULTADOS"/>
      <sheetName val="CRÉDITOS COMERCIALES"/>
      <sheetName val="CRÉDITOS INSTITUCIONES FINANCIE"/>
      <sheetName val="BONOS"/>
      <sheetName val="CAPITAL SOCIAL"/>
      <sheetName val="ACCIONES COMUNES"/>
      <sheetName val="COSTO DE CAPITAL PATRIMONIAL"/>
      <sheetName val="GANANCIAS RETENIDAS"/>
      <sheetName val="COSTO TOTAL"/>
      <sheetName val="RANKING"/>
      <sheetName val="SIMULACIÓN"/>
      <sheetName val="GRÁFICA SIMULACIÓN"/>
      <sheetName val="modelo final_"/>
    </sheetNames>
    <sheetDataSet>
      <sheetData sheetId="0"/>
      <sheetData sheetId="1"/>
      <sheetData sheetId="2"/>
      <sheetData sheetId="3">
        <row r="59">
          <cell r="D59" t="str">
            <v>Cotopaxi</v>
          </cell>
          <cell r="E59" t="str">
            <v>Latacunga</v>
          </cell>
          <cell r="F59" t="str">
            <v>Anónima</v>
          </cell>
        </row>
        <row r="60">
          <cell r="E60" t="str">
            <v>Salcedo</v>
          </cell>
          <cell r="F60" t="str">
            <v>Responsabilidad Limitada</v>
          </cell>
        </row>
        <row r="61">
          <cell r="E61" t="str">
            <v>La Maná</v>
          </cell>
          <cell r="F61" t="str">
            <v>Otro</v>
          </cell>
        </row>
        <row r="62">
          <cell r="E62" t="str">
            <v>Lasso</v>
          </cell>
        </row>
        <row r="63">
          <cell r="E63" t="str">
            <v>Tanicuchi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C4:I9" totalsRowShown="0" headerRowDxfId="11" dataDxfId="9" headerRowBorderDxfId="10" tableBorderDxfId="8" totalsRowBorderDxfId="7">
  <autoFilter ref="C4:I9" xr:uid="{00000000-0009-0000-0100-000001000000}"/>
  <tableColumns count="7">
    <tableColumn id="1" xr3:uid="{00000000-0010-0000-0000-000001000000}" name="N° Factura" dataDxfId="6"/>
    <tableColumn id="2" xr3:uid="{00000000-0010-0000-0000-000002000000}" name="Cliente" dataDxfId="5"/>
    <tableColumn id="3" xr3:uid="{00000000-0010-0000-0000-000003000000}" name="Fecha Emisión" dataDxfId="4"/>
    <tableColumn id="4" xr3:uid="{00000000-0010-0000-0000-000004000000}" name="Días a vencer" dataDxfId="3"/>
    <tableColumn id="5" xr3:uid="{00000000-0010-0000-0000-000005000000}" name="Fecha Vencimiento" dataDxfId="2">
      <calculatedColumnFormula>IF(Tabla1[[#This Row],[Días a vencer]]="","",E5+F5)</calculatedColumnFormula>
    </tableColumn>
    <tableColumn id="6" xr3:uid="{00000000-0010-0000-0000-000006000000}" name="Alertas" dataDxfId="1">
      <calculatedColumnFormula>IF(F5="","VACIO",IF(I5&lt;0,"Vencido hace "&amp;I5*-1&amp;" días",IF(I5=0,"Vence hoy",IF(I5&lt;4,"Tiene "&amp;I5&amp;" días","Faltan "&amp;I5&amp;" días"))))</calculatedColumnFormula>
    </tableColumn>
    <tableColumn id="7" xr3:uid="{00000000-0010-0000-0000-000007000000}" name="días" dataDxfId="0">
      <calculatedColumnFormula>G5-$C$3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A1:L26"/>
  <sheetViews>
    <sheetView tabSelected="1" zoomScale="90" zoomScaleNormal="90" workbookViewId="0">
      <selection activeCell="N12" sqref="N12"/>
    </sheetView>
  </sheetViews>
  <sheetFormatPr baseColWidth="10" defaultRowHeight="15" x14ac:dyDescent="0.25"/>
  <cols>
    <col min="1" max="1" width="11.42578125" customWidth="1"/>
    <col min="2" max="2" width="1.5703125" customWidth="1"/>
    <col min="9" max="9" width="16.5703125" customWidth="1"/>
    <col min="11" max="11" width="1.28515625" customWidth="1"/>
  </cols>
  <sheetData>
    <row r="1" spans="1:12" ht="15.75" thickBot="1" x14ac:dyDescent="0.3">
      <c r="A1" s="25"/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</row>
    <row r="2" spans="1:12" ht="6.75" customHeight="1" thickBot="1" x14ac:dyDescent="0.3">
      <c r="A2" s="25"/>
      <c r="B2" s="26"/>
      <c r="C2" s="27"/>
      <c r="D2" s="27"/>
      <c r="E2" s="27"/>
      <c r="F2" s="27"/>
      <c r="G2" s="27"/>
      <c r="H2" s="27"/>
      <c r="I2" s="27"/>
      <c r="J2" s="27"/>
      <c r="K2" s="28"/>
      <c r="L2" s="25"/>
    </row>
    <row r="3" spans="1:12" x14ac:dyDescent="0.25">
      <c r="A3" s="25"/>
      <c r="B3" s="29"/>
      <c r="C3" s="30"/>
      <c r="D3" s="31"/>
      <c r="E3" s="31"/>
      <c r="F3" s="31"/>
      <c r="G3" s="31"/>
      <c r="H3" s="31"/>
      <c r="I3" s="31"/>
      <c r="J3" s="32"/>
      <c r="K3" s="33"/>
      <c r="L3" s="25"/>
    </row>
    <row r="4" spans="1:12" x14ac:dyDescent="0.25">
      <c r="A4" s="25"/>
      <c r="B4" s="29"/>
      <c r="C4" s="34"/>
      <c r="D4" s="35"/>
      <c r="E4" s="35"/>
      <c r="F4" s="35"/>
      <c r="G4" s="35"/>
      <c r="H4" s="35"/>
      <c r="I4" s="35"/>
      <c r="J4" s="36"/>
      <c r="K4" s="33"/>
      <c r="L4" s="25"/>
    </row>
    <row r="5" spans="1:12" x14ac:dyDescent="0.25">
      <c r="A5" s="25"/>
      <c r="B5" s="29"/>
      <c r="C5" s="34"/>
      <c r="D5" s="35"/>
      <c r="E5" s="35"/>
      <c r="F5" s="35"/>
      <c r="G5" s="35"/>
      <c r="H5" s="35"/>
      <c r="I5" s="35"/>
      <c r="J5" s="36"/>
      <c r="K5" s="33"/>
      <c r="L5" s="25"/>
    </row>
    <row r="6" spans="1:12" x14ac:dyDescent="0.25">
      <c r="A6" s="25"/>
      <c r="B6" s="29"/>
      <c r="C6" s="34"/>
      <c r="D6" s="35"/>
      <c r="E6" s="35"/>
      <c r="F6" s="35"/>
      <c r="G6" s="35"/>
      <c r="H6" s="35"/>
      <c r="I6" s="35"/>
      <c r="J6" s="36"/>
      <c r="K6" s="33"/>
      <c r="L6" s="25"/>
    </row>
    <row r="7" spans="1:12" x14ac:dyDescent="0.25">
      <c r="A7" s="25"/>
      <c r="B7" s="29"/>
      <c r="C7" s="34"/>
      <c r="D7" s="35"/>
      <c r="E7" s="35"/>
      <c r="F7" s="35"/>
      <c r="G7" s="35"/>
      <c r="H7" s="35"/>
      <c r="I7" s="35"/>
      <c r="J7" s="36"/>
      <c r="K7" s="33"/>
      <c r="L7" s="25"/>
    </row>
    <row r="8" spans="1:12" x14ac:dyDescent="0.25">
      <c r="A8" s="25"/>
      <c r="B8" s="29"/>
      <c r="C8" s="34"/>
      <c r="D8" s="35"/>
      <c r="E8" s="35"/>
      <c r="F8" s="35"/>
      <c r="G8" s="35"/>
      <c r="H8" s="35"/>
      <c r="I8" s="35"/>
      <c r="J8" s="36"/>
      <c r="K8" s="33"/>
      <c r="L8" s="25"/>
    </row>
    <row r="9" spans="1:12" x14ac:dyDescent="0.25">
      <c r="A9" s="25"/>
      <c r="B9" s="29"/>
      <c r="C9" s="34"/>
      <c r="D9" s="35"/>
      <c r="E9" s="35"/>
      <c r="F9" s="35"/>
      <c r="G9" s="35"/>
      <c r="H9" s="35"/>
      <c r="I9" s="35"/>
      <c r="J9" s="36"/>
      <c r="K9" s="33"/>
      <c r="L9" s="25"/>
    </row>
    <row r="10" spans="1:12" ht="16.5" thickBot="1" x14ac:dyDescent="0.3">
      <c r="A10" s="25"/>
      <c r="B10" s="29"/>
      <c r="C10" s="37"/>
      <c r="D10" s="38"/>
      <c r="E10" s="38"/>
      <c r="F10" s="38"/>
      <c r="G10" s="38"/>
      <c r="H10" s="38"/>
      <c r="I10" s="38"/>
      <c r="J10" s="39"/>
      <c r="K10" s="33"/>
      <c r="L10" s="25"/>
    </row>
    <row r="11" spans="1:12" ht="19.5" thickBot="1" x14ac:dyDescent="0.3">
      <c r="A11" s="25"/>
      <c r="B11" s="29"/>
      <c r="C11" s="40"/>
      <c r="D11" s="67" t="s">
        <v>56</v>
      </c>
      <c r="E11" s="68"/>
      <c r="F11" s="68"/>
      <c r="G11" s="68"/>
      <c r="H11" s="68"/>
      <c r="I11" s="69"/>
      <c r="J11" s="41"/>
      <c r="K11" s="33"/>
      <c r="L11" s="25"/>
    </row>
    <row r="12" spans="1:12" ht="15.75" customHeight="1" x14ac:dyDescent="0.25">
      <c r="A12" s="25"/>
      <c r="B12" s="29"/>
      <c r="C12" s="42"/>
      <c r="D12" s="43"/>
      <c r="E12" s="43"/>
      <c r="F12" s="43"/>
      <c r="G12" s="43"/>
      <c r="H12" s="43"/>
      <c r="I12" s="43"/>
      <c r="J12" s="44"/>
      <c r="K12" s="33"/>
      <c r="L12" s="25"/>
    </row>
    <row r="13" spans="1:12" ht="15.75" customHeight="1" x14ac:dyDescent="0.25">
      <c r="A13" s="25"/>
      <c r="B13" s="29"/>
      <c r="C13" s="42"/>
      <c r="D13" s="70" t="s">
        <v>57</v>
      </c>
      <c r="E13" s="70"/>
      <c r="F13" s="70"/>
      <c r="G13" s="70"/>
      <c r="H13" s="70"/>
      <c r="I13" s="70"/>
      <c r="J13" s="44"/>
      <c r="K13" s="33"/>
      <c r="L13" s="25"/>
    </row>
    <row r="14" spans="1:12" ht="15.75" customHeight="1" x14ac:dyDescent="0.25">
      <c r="A14" s="25"/>
      <c r="B14" s="29"/>
      <c r="C14" s="42"/>
      <c r="D14" s="70"/>
      <c r="E14" s="70"/>
      <c r="F14" s="70"/>
      <c r="G14" s="70"/>
      <c r="H14" s="70"/>
      <c r="I14" s="70"/>
      <c r="J14" s="44"/>
      <c r="K14" s="33"/>
      <c r="L14" s="25"/>
    </row>
    <row r="15" spans="1:12" ht="15" customHeight="1" x14ac:dyDescent="0.25">
      <c r="A15" s="25"/>
      <c r="B15" s="29"/>
      <c r="C15" s="42"/>
      <c r="D15" s="70"/>
      <c r="E15" s="70"/>
      <c r="F15" s="70"/>
      <c r="G15" s="70"/>
      <c r="H15" s="70"/>
      <c r="I15" s="70"/>
      <c r="J15" s="44"/>
      <c r="K15" s="33"/>
      <c r="L15" s="25"/>
    </row>
    <row r="16" spans="1:12" ht="15" customHeight="1" x14ac:dyDescent="0.25">
      <c r="A16" s="25"/>
      <c r="B16" s="29"/>
      <c r="C16" s="42"/>
      <c r="D16" s="70"/>
      <c r="E16" s="70"/>
      <c r="F16" s="70"/>
      <c r="G16" s="70"/>
      <c r="H16" s="70"/>
      <c r="I16" s="70"/>
      <c r="J16" s="44"/>
      <c r="K16" s="33"/>
      <c r="L16" s="25"/>
    </row>
    <row r="17" spans="1:12" ht="15" customHeight="1" x14ac:dyDescent="0.25">
      <c r="A17" s="25"/>
      <c r="B17" s="29"/>
      <c r="C17" s="42"/>
      <c r="D17" s="70"/>
      <c r="E17" s="70"/>
      <c r="F17" s="70"/>
      <c r="G17" s="70"/>
      <c r="H17" s="70"/>
      <c r="I17" s="70"/>
      <c r="J17" s="44"/>
      <c r="K17" s="33"/>
      <c r="L17" s="25"/>
    </row>
    <row r="18" spans="1:12" ht="15.75" customHeight="1" x14ac:dyDescent="0.25">
      <c r="A18" s="25"/>
      <c r="B18" s="29"/>
      <c r="C18" s="42"/>
      <c r="D18" s="70"/>
      <c r="E18" s="70"/>
      <c r="F18" s="70"/>
      <c r="G18" s="70"/>
      <c r="H18" s="70"/>
      <c r="I18" s="70"/>
      <c r="J18" s="44"/>
      <c r="K18" s="33"/>
      <c r="L18" s="25"/>
    </row>
    <row r="19" spans="1:12" ht="15" customHeight="1" x14ac:dyDescent="0.25">
      <c r="A19" s="25"/>
      <c r="B19" s="29"/>
      <c r="C19" s="42"/>
      <c r="D19" s="70"/>
      <c r="E19" s="70"/>
      <c r="F19" s="70"/>
      <c r="G19" s="70"/>
      <c r="H19" s="70"/>
      <c r="I19" s="70"/>
      <c r="J19" s="44"/>
      <c r="K19" s="33"/>
      <c r="L19" s="25"/>
    </row>
    <row r="20" spans="1:12" ht="15" customHeight="1" x14ac:dyDescent="0.25">
      <c r="A20" s="25"/>
      <c r="B20" s="29"/>
      <c r="C20" s="42"/>
      <c r="D20" s="70"/>
      <c r="E20" s="70"/>
      <c r="F20" s="70"/>
      <c r="G20" s="70"/>
      <c r="H20" s="70"/>
      <c r="I20" s="70"/>
      <c r="J20" s="44"/>
      <c r="K20" s="33"/>
      <c r="L20" s="25"/>
    </row>
    <row r="21" spans="1:12" ht="15" customHeight="1" x14ac:dyDescent="0.25">
      <c r="A21" s="25"/>
      <c r="B21" s="29"/>
      <c r="C21" s="42"/>
      <c r="D21" s="70"/>
      <c r="E21" s="70"/>
      <c r="F21" s="70"/>
      <c r="G21" s="70"/>
      <c r="H21" s="70"/>
      <c r="I21" s="70"/>
      <c r="J21" s="44"/>
      <c r="K21" s="33"/>
      <c r="L21" s="25"/>
    </row>
    <row r="22" spans="1:12" ht="15" customHeight="1" x14ac:dyDescent="0.25">
      <c r="A22" s="25"/>
      <c r="B22" s="29"/>
      <c r="C22" s="42"/>
      <c r="D22" s="43"/>
      <c r="E22" s="43"/>
      <c r="F22" s="43"/>
      <c r="G22" s="43"/>
      <c r="H22" s="43"/>
      <c r="I22" s="43"/>
      <c r="J22" s="44"/>
      <c r="K22" s="33"/>
      <c r="L22" s="25"/>
    </row>
    <row r="23" spans="1:12" ht="15.75" customHeight="1" thickBot="1" x14ac:dyDescent="0.3">
      <c r="A23" s="25"/>
      <c r="B23" s="29"/>
      <c r="C23" s="45"/>
      <c r="D23" s="46"/>
      <c r="E23" s="46"/>
      <c r="F23" s="46"/>
      <c r="G23" s="46"/>
      <c r="H23" s="46"/>
      <c r="I23" s="46"/>
      <c r="J23" s="47"/>
      <c r="K23" s="33"/>
      <c r="L23" s="25"/>
    </row>
    <row r="24" spans="1:12" ht="5.25" customHeight="1" thickBot="1" x14ac:dyDescent="0.3">
      <c r="A24" s="25"/>
      <c r="B24" s="48"/>
      <c r="C24" s="49"/>
      <c r="D24" s="49"/>
      <c r="E24" s="49"/>
      <c r="F24" s="49"/>
      <c r="G24" s="49"/>
      <c r="H24" s="49"/>
      <c r="I24" s="49"/>
      <c r="J24" s="49"/>
      <c r="K24" s="50"/>
      <c r="L24" s="25"/>
    </row>
    <row r="25" spans="1:12" x14ac:dyDescent="0.25">
      <c r="A25" s="25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</row>
    <row r="26" spans="1:12" x14ac:dyDescent="0.25">
      <c r="A26" s="25"/>
      <c r="B26" s="25"/>
      <c r="C26" s="25"/>
      <c r="D26" s="25"/>
      <c r="E26" s="25"/>
      <c r="F26" s="25"/>
      <c r="G26" s="25"/>
      <c r="H26" s="25"/>
      <c r="I26" s="25"/>
      <c r="J26" s="25"/>
      <c r="K26" s="25"/>
      <c r="L26" s="25"/>
    </row>
  </sheetData>
  <mergeCells count="2">
    <mergeCell ref="D11:I11"/>
    <mergeCell ref="D13:I21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1:U57"/>
  <sheetViews>
    <sheetView topLeftCell="A42" zoomScaleNormal="100" workbookViewId="0">
      <selection activeCell="G57" sqref="G57"/>
    </sheetView>
  </sheetViews>
  <sheetFormatPr baseColWidth="10" defaultRowHeight="15" x14ac:dyDescent="0.25"/>
  <cols>
    <col min="3" max="3" width="20.7109375" bestFit="1" customWidth="1"/>
    <col min="5" max="5" width="22.42578125" customWidth="1"/>
    <col min="6" max="6" width="5" customWidth="1"/>
    <col min="7" max="7" width="20.140625" customWidth="1"/>
    <col min="9" max="9" width="16.7109375" customWidth="1"/>
    <col min="12" max="12" width="11.42578125" style="5"/>
    <col min="16" max="22" width="0" hidden="1" customWidth="1"/>
  </cols>
  <sheetData>
    <row r="1" spans="1:21" ht="15.75" thickBot="1" x14ac:dyDescent="0.3"/>
    <row r="2" spans="1:21" x14ac:dyDescent="0.25">
      <c r="A2" s="6"/>
      <c r="B2" s="7"/>
      <c r="C2" s="8"/>
      <c r="D2" s="8"/>
      <c r="E2" s="8"/>
      <c r="F2" s="8"/>
      <c r="G2" s="8"/>
      <c r="H2" s="8"/>
      <c r="I2" s="8"/>
      <c r="J2" s="9"/>
      <c r="K2" s="6"/>
    </row>
    <row r="3" spans="1:21" x14ac:dyDescent="0.25">
      <c r="A3" s="6"/>
      <c r="B3" s="10"/>
      <c r="C3" s="11"/>
      <c r="D3" s="11"/>
      <c r="E3" s="11"/>
      <c r="F3" s="11"/>
      <c r="G3" s="11"/>
      <c r="H3" s="11"/>
      <c r="I3" s="11"/>
      <c r="J3" s="12"/>
      <c r="K3" s="6"/>
    </row>
    <row r="4" spans="1:21" ht="15.75" customHeight="1" x14ac:dyDescent="0.25">
      <c r="A4" s="6"/>
      <c r="B4" s="10"/>
      <c r="C4" s="11"/>
      <c r="D4" s="11"/>
      <c r="E4" s="11"/>
      <c r="F4" s="11"/>
      <c r="G4" s="11"/>
      <c r="H4" s="11"/>
      <c r="I4" s="11"/>
      <c r="J4" s="12"/>
      <c r="K4" s="6"/>
    </row>
    <row r="5" spans="1:21" x14ac:dyDescent="0.25">
      <c r="A5" s="6"/>
      <c r="B5" s="10"/>
      <c r="C5" s="11"/>
      <c r="D5" s="11"/>
      <c r="E5" s="11"/>
      <c r="F5" s="11"/>
      <c r="G5" s="11"/>
      <c r="H5" s="11"/>
      <c r="I5" s="11"/>
      <c r="J5" s="12"/>
      <c r="K5" s="6"/>
      <c r="P5" s="13" t="s">
        <v>21</v>
      </c>
    </row>
    <row r="6" spans="1:21" x14ac:dyDescent="0.25">
      <c r="A6" s="6"/>
      <c r="B6" s="10"/>
      <c r="C6" s="11"/>
      <c r="D6" s="11"/>
      <c r="E6" s="11"/>
      <c r="F6" s="11"/>
      <c r="G6" s="11"/>
      <c r="H6" s="11"/>
      <c r="I6" s="11"/>
      <c r="J6" s="12"/>
      <c r="K6" s="6"/>
      <c r="P6" s="13" t="s">
        <v>22</v>
      </c>
      <c r="S6" t="s">
        <v>23</v>
      </c>
    </row>
    <row r="7" spans="1:21" x14ac:dyDescent="0.25">
      <c r="A7" s="6"/>
      <c r="B7" s="10"/>
      <c r="C7" s="11"/>
      <c r="D7" s="11"/>
      <c r="E7" s="11"/>
      <c r="F7" s="11"/>
      <c r="G7" s="11"/>
      <c r="H7" s="11"/>
      <c r="I7" s="11"/>
      <c r="J7" s="12"/>
      <c r="K7" s="6"/>
      <c r="P7" s="13" t="s">
        <v>24</v>
      </c>
      <c r="S7" t="s">
        <v>25</v>
      </c>
      <c r="U7" t="s">
        <v>26</v>
      </c>
    </row>
    <row r="8" spans="1:21" ht="15.75" customHeight="1" x14ac:dyDescent="0.25">
      <c r="A8" s="6"/>
      <c r="B8" s="10"/>
      <c r="C8" s="80" t="s">
        <v>27</v>
      </c>
      <c r="D8" s="81"/>
      <c r="E8" s="81"/>
      <c r="F8" s="81"/>
      <c r="G8" s="81"/>
      <c r="H8" s="81"/>
      <c r="I8" s="82"/>
      <c r="J8" s="12"/>
      <c r="K8" s="6"/>
      <c r="P8" s="13" t="s">
        <v>28</v>
      </c>
      <c r="S8" t="s">
        <v>29</v>
      </c>
      <c r="U8" t="s">
        <v>30</v>
      </c>
    </row>
    <row r="9" spans="1:21" x14ac:dyDescent="0.25">
      <c r="A9" s="6"/>
      <c r="B9" s="10"/>
      <c r="C9" s="83"/>
      <c r="D9" s="84"/>
      <c r="E9" s="84"/>
      <c r="F9" s="84"/>
      <c r="G9" s="84"/>
      <c r="H9" s="84"/>
      <c r="I9" s="85"/>
      <c r="J9" s="12"/>
      <c r="K9" s="6"/>
      <c r="P9" s="13" t="s">
        <v>31</v>
      </c>
    </row>
    <row r="10" spans="1:21" x14ac:dyDescent="0.25">
      <c r="A10" s="6"/>
      <c r="B10" s="10"/>
      <c r="C10" s="11"/>
      <c r="D10" s="11"/>
      <c r="E10" s="11"/>
      <c r="F10" s="11"/>
      <c r="G10" s="11"/>
      <c r="H10" s="11"/>
      <c r="I10" s="11"/>
      <c r="J10" s="12"/>
      <c r="K10" s="6"/>
      <c r="P10" s="13" t="s">
        <v>32</v>
      </c>
    </row>
    <row r="11" spans="1:21" ht="15" customHeight="1" x14ac:dyDescent="0.25">
      <c r="A11" s="6"/>
      <c r="B11" s="10"/>
      <c r="C11" s="86" t="s">
        <v>33</v>
      </c>
      <c r="D11" s="96" t="s">
        <v>34</v>
      </c>
      <c r="E11" s="96"/>
      <c r="F11" s="11"/>
      <c r="G11" s="86" t="s">
        <v>35</v>
      </c>
      <c r="H11" s="87"/>
      <c r="I11" s="88"/>
      <c r="J11" s="12"/>
      <c r="K11" s="6"/>
      <c r="P11" s="13" t="s">
        <v>34</v>
      </c>
    </row>
    <row r="12" spans="1:21" ht="15" customHeight="1" x14ac:dyDescent="0.25">
      <c r="A12" s="6"/>
      <c r="B12" s="10"/>
      <c r="C12" s="86"/>
      <c r="D12" s="96"/>
      <c r="E12" s="96"/>
      <c r="F12" s="11"/>
      <c r="G12" s="86"/>
      <c r="H12" s="89"/>
      <c r="I12" s="90"/>
      <c r="J12" s="12"/>
      <c r="K12" s="6"/>
      <c r="P12" s="13" t="s">
        <v>36</v>
      </c>
    </row>
    <row r="13" spans="1:21" x14ac:dyDescent="0.25">
      <c r="A13" s="6"/>
      <c r="B13" s="10"/>
      <c r="C13" s="11"/>
      <c r="D13" s="11"/>
      <c r="E13" s="11"/>
      <c r="F13" s="11"/>
      <c r="G13" s="11"/>
      <c r="H13" s="11"/>
      <c r="I13" s="11"/>
      <c r="J13" s="12"/>
      <c r="K13" s="6"/>
      <c r="P13" s="13" t="s">
        <v>37</v>
      </c>
    </row>
    <row r="14" spans="1:21" ht="15" customHeight="1" x14ac:dyDescent="0.25">
      <c r="A14" s="6"/>
      <c r="B14" s="10"/>
      <c r="C14" s="86" t="s">
        <v>38</v>
      </c>
      <c r="D14" s="87" t="s">
        <v>26</v>
      </c>
      <c r="E14" s="88"/>
      <c r="F14" s="11"/>
      <c r="G14" s="86" t="s">
        <v>39</v>
      </c>
      <c r="H14" s="87" t="s">
        <v>23</v>
      </c>
      <c r="I14" s="88"/>
      <c r="J14" s="12"/>
      <c r="K14" s="6"/>
      <c r="P14" s="13" t="s">
        <v>40</v>
      </c>
    </row>
    <row r="15" spans="1:21" x14ac:dyDescent="0.25">
      <c r="A15" s="6"/>
      <c r="B15" s="10"/>
      <c r="C15" s="86"/>
      <c r="D15" s="89"/>
      <c r="E15" s="90"/>
      <c r="F15" s="11"/>
      <c r="G15" s="86"/>
      <c r="H15" s="89"/>
      <c r="I15" s="90"/>
      <c r="J15" s="12"/>
      <c r="K15" s="6"/>
      <c r="P15" s="13" t="s">
        <v>41</v>
      </c>
    </row>
    <row r="16" spans="1:21" x14ac:dyDescent="0.25">
      <c r="A16" s="6"/>
      <c r="B16" s="10"/>
      <c r="C16" s="11"/>
      <c r="D16" s="11"/>
      <c r="E16" s="11"/>
      <c r="F16" s="11"/>
      <c r="G16" s="11"/>
      <c r="H16" s="11"/>
      <c r="I16" s="11"/>
      <c r="J16" s="12"/>
      <c r="K16" s="6"/>
      <c r="P16" s="13" t="s">
        <v>42</v>
      </c>
    </row>
    <row r="17" spans="1:16" ht="15" customHeight="1" x14ac:dyDescent="0.25">
      <c r="A17" s="6"/>
      <c r="B17" s="10"/>
      <c r="C17" s="86" t="s">
        <v>43</v>
      </c>
      <c r="D17" s="72"/>
      <c r="E17" s="73"/>
      <c r="F17" s="11"/>
      <c r="G17" s="86" t="s">
        <v>44</v>
      </c>
      <c r="H17" s="91"/>
      <c r="I17" s="92"/>
      <c r="J17" s="12"/>
      <c r="K17" s="6"/>
      <c r="P17" s="13" t="s">
        <v>45</v>
      </c>
    </row>
    <row r="18" spans="1:16" ht="15" customHeight="1" x14ac:dyDescent="0.25">
      <c r="A18" s="6"/>
      <c r="B18" s="10"/>
      <c r="C18" s="86"/>
      <c r="D18" s="74"/>
      <c r="E18" s="75"/>
      <c r="F18" s="11"/>
      <c r="G18" s="86"/>
      <c r="H18" s="93"/>
      <c r="I18" s="94"/>
      <c r="J18" s="12"/>
      <c r="K18" s="6"/>
    </row>
    <row r="19" spans="1:16" x14ac:dyDescent="0.25">
      <c r="A19" s="6"/>
      <c r="B19" s="10"/>
      <c r="C19" s="11"/>
      <c r="D19" s="11"/>
      <c r="E19" s="11"/>
      <c r="F19" s="11"/>
      <c r="G19" s="11"/>
      <c r="H19" s="11"/>
      <c r="I19" s="11"/>
      <c r="J19" s="12"/>
      <c r="K19" s="6"/>
    </row>
    <row r="20" spans="1:16" ht="15" customHeight="1" x14ac:dyDescent="0.25">
      <c r="A20" s="6"/>
      <c r="B20" s="10"/>
      <c r="C20" s="86" t="s">
        <v>46</v>
      </c>
      <c r="D20" s="72"/>
      <c r="E20" s="73"/>
      <c r="F20" s="11"/>
      <c r="G20" s="78" t="s">
        <v>47</v>
      </c>
      <c r="H20" s="95"/>
      <c r="I20" s="88"/>
      <c r="J20" s="12"/>
      <c r="K20" s="6"/>
    </row>
    <row r="21" spans="1:16" ht="15" customHeight="1" x14ac:dyDescent="0.25">
      <c r="A21" s="6"/>
      <c r="B21" s="10"/>
      <c r="C21" s="86"/>
      <c r="D21" s="74"/>
      <c r="E21" s="75"/>
      <c r="F21" s="11"/>
      <c r="G21" s="79"/>
      <c r="H21" s="89"/>
      <c r="I21" s="90"/>
      <c r="J21" s="12"/>
      <c r="K21" s="6"/>
    </row>
    <row r="22" spans="1:16" x14ac:dyDescent="0.25">
      <c r="A22" s="6"/>
      <c r="B22" s="10"/>
      <c r="C22" s="11"/>
      <c r="D22" s="11"/>
      <c r="E22" s="11"/>
      <c r="F22" s="11"/>
      <c r="G22" s="11"/>
      <c r="H22" s="11"/>
      <c r="I22" s="11"/>
      <c r="J22" s="12"/>
      <c r="K22" s="6"/>
    </row>
    <row r="23" spans="1:16" ht="15" customHeight="1" x14ac:dyDescent="0.25">
      <c r="A23" s="6"/>
      <c r="B23" s="10"/>
      <c r="C23" s="80" t="s">
        <v>48</v>
      </c>
      <c r="D23" s="81"/>
      <c r="E23" s="81"/>
      <c r="F23" s="81"/>
      <c r="G23" s="81"/>
      <c r="H23" s="81"/>
      <c r="I23" s="82"/>
      <c r="J23" s="12"/>
      <c r="K23" s="6"/>
    </row>
    <row r="24" spans="1:16" ht="15" customHeight="1" x14ac:dyDescent="0.25">
      <c r="A24" s="6"/>
      <c r="B24" s="10"/>
      <c r="C24" s="83"/>
      <c r="D24" s="84"/>
      <c r="E24" s="84"/>
      <c r="F24" s="84"/>
      <c r="G24" s="84"/>
      <c r="H24" s="84"/>
      <c r="I24" s="85"/>
      <c r="J24" s="12"/>
      <c r="K24" s="6"/>
    </row>
    <row r="25" spans="1:16" ht="15" customHeight="1" x14ac:dyDescent="0.25">
      <c r="A25" s="6"/>
      <c r="B25" s="10"/>
      <c r="C25" s="14"/>
      <c r="D25" s="15"/>
      <c r="E25" s="15"/>
      <c r="F25" s="11"/>
      <c r="G25" s="14"/>
      <c r="H25" s="16"/>
      <c r="I25" s="16"/>
      <c r="J25" s="12"/>
      <c r="K25" s="6"/>
    </row>
    <row r="26" spans="1:16" ht="15" customHeight="1" x14ac:dyDescent="0.25">
      <c r="A26" s="6"/>
      <c r="B26" s="10"/>
      <c r="C26" s="86" t="s">
        <v>49</v>
      </c>
      <c r="D26" s="72"/>
      <c r="E26" s="73"/>
      <c r="F26" s="11"/>
      <c r="G26" s="76" t="s">
        <v>50</v>
      </c>
      <c r="H26" s="72"/>
      <c r="I26" s="73"/>
      <c r="J26" s="12"/>
      <c r="K26" s="6"/>
    </row>
    <row r="27" spans="1:16" ht="15" customHeight="1" x14ac:dyDescent="0.25">
      <c r="A27" s="6"/>
      <c r="B27" s="10"/>
      <c r="C27" s="86"/>
      <c r="D27" s="74"/>
      <c r="E27" s="75"/>
      <c r="F27" s="11"/>
      <c r="G27" s="77"/>
      <c r="H27" s="74"/>
      <c r="I27" s="75"/>
      <c r="J27" s="12"/>
      <c r="K27" s="6"/>
    </row>
    <row r="28" spans="1:16" ht="15" customHeight="1" x14ac:dyDescent="0.25">
      <c r="A28" s="6"/>
      <c r="B28" s="10"/>
      <c r="C28" s="11"/>
      <c r="D28" s="15"/>
      <c r="E28" s="15"/>
      <c r="F28" s="11"/>
      <c r="G28" s="14"/>
      <c r="H28" s="16"/>
      <c r="I28" s="16"/>
      <c r="J28" s="12"/>
      <c r="K28" s="6"/>
    </row>
    <row r="29" spans="1:16" ht="24.75" customHeight="1" x14ac:dyDescent="0.25">
      <c r="A29" s="6"/>
      <c r="B29" s="10"/>
      <c r="C29" s="71" t="s">
        <v>51</v>
      </c>
      <c r="D29" s="72"/>
      <c r="E29" s="73"/>
      <c r="F29" s="11"/>
      <c r="G29" s="76" t="s">
        <v>46</v>
      </c>
      <c r="H29" s="72"/>
      <c r="I29" s="73"/>
      <c r="J29" s="12"/>
      <c r="K29" s="6"/>
    </row>
    <row r="30" spans="1:16" ht="15" customHeight="1" x14ac:dyDescent="0.25">
      <c r="A30" s="6"/>
      <c r="B30" s="10"/>
      <c r="C30" s="71"/>
      <c r="D30" s="74"/>
      <c r="E30" s="75"/>
      <c r="F30" s="11"/>
      <c r="G30" s="77"/>
      <c r="H30" s="74"/>
      <c r="I30" s="75"/>
      <c r="J30" s="12"/>
      <c r="K30" s="6"/>
    </row>
    <row r="31" spans="1:16" ht="15" customHeight="1" x14ac:dyDescent="0.25">
      <c r="A31" s="6"/>
      <c r="B31" s="10"/>
      <c r="C31" s="11"/>
      <c r="D31" s="15"/>
      <c r="E31" s="15"/>
      <c r="F31" s="11"/>
      <c r="G31" s="14"/>
      <c r="H31" s="16"/>
      <c r="I31" s="16"/>
      <c r="J31" s="12"/>
      <c r="K31" s="6"/>
    </row>
    <row r="32" spans="1:16" ht="15" customHeight="1" x14ac:dyDescent="0.25">
      <c r="A32" s="6"/>
      <c r="B32" s="10"/>
      <c r="C32" s="78" t="s">
        <v>52</v>
      </c>
      <c r="D32" s="72"/>
      <c r="E32" s="73"/>
      <c r="F32" s="11"/>
      <c r="G32" s="14"/>
      <c r="H32" s="16"/>
      <c r="I32" s="16"/>
      <c r="J32" s="12"/>
      <c r="K32" s="6"/>
    </row>
    <row r="33" spans="1:11" ht="15" customHeight="1" x14ac:dyDescent="0.25">
      <c r="A33" s="6"/>
      <c r="B33" s="10"/>
      <c r="C33" s="79"/>
      <c r="D33" s="74"/>
      <c r="E33" s="75"/>
      <c r="F33" s="11"/>
      <c r="G33" s="14"/>
      <c r="H33" s="16"/>
      <c r="I33" s="16"/>
      <c r="J33" s="12"/>
      <c r="K33" s="6"/>
    </row>
    <row r="34" spans="1:11" ht="15" customHeight="1" x14ac:dyDescent="0.25">
      <c r="A34" s="6"/>
      <c r="B34" s="10"/>
      <c r="C34" s="14"/>
      <c r="D34" s="15"/>
      <c r="E34" s="15"/>
      <c r="F34" s="11"/>
      <c r="G34" s="14"/>
      <c r="H34" s="16"/>
      <c r="I34" s="16"/>
      <c r="J34" s="12"/>
      <c r="K34" s="6"/>
    </row>
    <row r="35" spans="1:11" ht="15" customHeight="1" x14ac:dyDescent="0.25">
      <c r="A35" s="6"/>
      <c r="B35" s="10"/>
      <c r="C35" s="80" t="s">
        <v>53</v>
      </c>
      <c r="D35" s="81"/>
      <c r="E35" s="81"/>
      <c r="F35" s="81"/>
      <c r="G35" s="81"/>
      <c r="H35" s="81"/>
      <c r="I35" s="82"/>
      <c r="J35" s="12"/>
      <c r="K35" s="6"/>
    </row>
    <row r="36" spans="1:11" ht="15" customHeight="1" x14ac:dyDescent="0.25">
      <c r="A36" s="6"/>
      <c r="B36" s="10"/>
      <c r="C36" s="83"/>
      <c r="D36" s="84"/>
      <c r="E36" s="84"/>
      <c r="F36" s="84"/>
      <c r="G36" s="84"/>
      <c r="H36" s="84"/>
      <c r="I36" s="85"/>
      <c r="J36" s="12"/>
      <c r="K36" s="6"/>
    </row>
    <row r="37" spans="1:11" ht="15" customHeight="1" x14ac:dyDescent="0.25">
      <c r="A37" s="6"/>
      <c r="B37" s="10"/>
      <c r="C37" s="14"/>
      <c r="D37" s="15"/>
      <c r="E37" s="15"/>
      <c r="F37" s="11"/>
      <c r="G37" s="14"/>
      <c r="H37" s="16"/>
      <c r="I37" s="16"/>
      <c r="J37" s="12"/>
      <c r="K37" s="6"/>
    </row>
    <row r="38" spans="1:11" ht="15" customHeight="1" x14ac:dyDescent="0.25">
      <c r="A38" s="6"/>
      <c r="B38" s="10"/>
      <c r="C38" s="86" t="s">
        <v>54</v>
      </c>
      <c r="D38" s="72"/>
      <c r="E38" s="73"/>
      <c r="F38" s="11"/>
      <c r="G38" s="76" t="s">
        <v>50</v>
      </c>
      <c r="H38" s="72"/>
      <c r="I38" s="73"/>
      <c r="J38" s="12"/>
      <c r="K38" s="6"/>
    </row>
    <row r="39" spans="1:11" ht="15" customHeight="1" x14ac:dyDescent="0.25">
      <c r="A39" s="6"/>
      <c r="B39" s="10"/>
      <c r="C39" s="86"/>
      <c r="D39" s="74"/>
      <c r="E39" s="75"/>
      <c r="F39" s="11"/>
      <c r="G39" s="77"/>
      <c r="H39" s="74"/>
      <c r="I39" s="75"/>
      <c r="J39" s="12"/>
      <c r="K39" s="6"/>
    </row>
    <row r="40" spans="1:11" ht="15" customHeight="1" x14ac:dyDescent="0.25">
      <c r="A40" s="6"/>
      <c r="B40" s="10"/>
      <c r="C40" s="11"/>
      <c r="D40" s="15"/>
      <c r="E40" s="15"/>
      <c r="F40" s="11"/>
      <c r="G40" s="14"/>
      <c r="H40" s="16"/>
      <c r="I40" s="16"/>
      <c r="J40" s="12"/>
      <c r="K40" s="6"/>
    </row>
    <row r="41" spans="1:11" ht="15" customHeight="1" x14ac:dyDescent="0.25">
      <c r="A41" s="6"/>
      <c r="B41" s="10"/>
      <c r="C41" s="71" t="s">
        <v>55</v>
      </c>
      <c r="D41" s="72"/>
      <c r="E41" s="73"/>
      <c r="F41" s="11"/>
      <c r="G41" s="76" t="s">
        <v>46</v>
      </c>
      <c r="H41" s="72"/>
      <c r="I41" s="73"/>
      <c r="J41" s="12"/>
      <c r="K41" s="6"/>
    </row>
    <row r="42" spans="1:11" ht="15" customHeight="1" x14ac:dyDescent="0.25">
      <c r="A42" s="6"/>
      <c r="B42" s="10"/>
      <c r="C42" s="71"/>
      <c r="D42" s="74"/>
      <c r="E42" s="75"/>
      <c r="F42" s="11"/>
      <c r="G42" s="77"/>
      <c r="H42" s="74"/>
      <c r="I42" s="75"/>
      <c r="J42" s="12"/>
      <c r="K42" s="6"/>
    </row>
    <row r="43" spans="1:11" ht="15" customHeight="1" x14ac:dyDescent="0.25">
      <c r="A43" s="6"/>
      <c r="B43" s="10"/>
      <c r="C43" s="11"/>
      <c r="D43" s="15"/>
      <c r="E43" s="15"/>
      <c r="F43" s="11"/>
      <c r="G43" s="14"/>
      <c r="H43" s="16"/>
      <c r="I43" s="16"/>
      <c r="J43" s="12"/>
      <c r="K43" s="6"/>
    </row>
    <row r="44" spans="1:11" ht="15" customHeight="1" x14ac:dyDescent="0.25">
      <c r="A44" s="6"/>
      <c r="B44" s="10"/>
      <c r="C44" s="78" t="s">
        <v>52</v>
      </c>
      <c r="D44" s="72"/>
      <c r="E44" s="73"/>
      <c r="F44" s="11"/>
      <c r="G44" s="14"/>
      <c r="H44" s="16"/>
      <c r="I44" s="16"/>
      <c r="J44" s="12"/>
      <c r="K44" s="6"/>
    </row>
    <row r="45" spans="1:11" ht="15" customHeight="1" x14ac:dyDescent="0.25">
      <c r="A45" s="6"/>
      <c r="B45" s="10"/>
      <c r="C45" s="79"/>
      <c r="D45" s="74"/>
      <c r="E45" s="75"/>
      <c r="F45" s="11"/>
      <c r="G45" s="14"/>
      <c r="H45" s="16"/>
      <c r="I45" s="16"/>
      <c r="J45" s="12"/>
      <c r="K45" s="6"/>
    </row>
    <row r="46" spans="1:11" ht="15" customHeight="1" x14ac:dyDescent="0.25">
      <c r="A46" s="6"/>
      <c r="B46" s="10"/>
      <c r="C46" s="14"/>
      <c r="D46" s="15"/>
      <c r="E46" s="15"/>
      <c r="F46" s="11"/>
      <c r="G46" s="14"/>
      <c r="H46" s="16"/>
      <c r="I46" s="16"/>
      <c r="J46" s="12"/>
      <c r="K46" s="6"/>
    </row>
    <row r="47" spans="1:11" ht="15" customHeight="1" x14ac:dyDescent="0.25">
      <c r="A47" s="6"/>
      <c r="B47" s="10"/>
      <c r="C47" s="14"/>
      <c r="D47" s="15"/>
      <c r="E47" s="15"/>
      <c r="F47" s="11"/>
      <c r="G47" s="14"/>
      <c r="H47" s="16"/>
      <c r="I47" s="16"/>
      <c r="J47" s="12"/>
      <c r="K47" s="6"/>
    </row>
    <row r="48" spans="1:11" ht="15" customHeight="1" x14ac:dyDescent="0.25">
      <c r="A48" s="6"/>
      <c r="B48" s="10"/>
      <c r="C48" s="14"/>
      <c r="D48" s="15"/>
      <c r="E48" s="15"/>
      <c r="F48" s="11"/>
      <c r="G48" s="14"/>
      <c r="H48" s="16"/>
      <c r="I48" s="16"/>
      <c r="J48" s="12"/>
      <c r="K48" s="6"/>
    </row>
    <row r="49" spans="1:11" ht="15" customHeight="1" x14ac:dyDescent="0.25">
      <c r="A49" s="6"/>
      <c r="B49" s="10"/>
      <c r="C49" s="14"/>
      <c r="D49" s="15"/>
      <c r="E49" s="15"/>
      <c r="F49" s="11"/>
      <c r="G49" s="14"/>
      <c r="H49" s="16"/>
      <c r="I49" s="16"/>
      <c r="J49" s="12"/>
      <c r="K49" s="6"/>
    </row>
    <row r="50" spans="1:11" ht="15" customHeight="1" x14ac:dyDescent="0.25">
      <c r="A50" s="6"/>
      <c r="B50" s="10"/>
      <c r="C50" s="14"/>
      <c r="D50" s="15"/>
      <c r="E50" s="15"/>
      <c r="F50" s="11"/>
      <c r="G50" s="14"/>
      <c r="H50" s="16"/>
      <c r="I50" s="16"/>
      <c r="J50" s="12"/>
      <c r="K50" s="6"/>
    </row>
    <row r="51" spans="1:11" ht="15" customHeight="1" x14ac:dyDescent="0.25">
      <c r="A51" s="6"/>
      <c r="B51" s="10"/>
      <c r="C51" s="14"/>
      <c r="D51" s="15"/>
      <c r="E51" s="15"/>
      <c r="F51" s="11"/>
      <c r="G51" s="14"/>
      <c r="H51" s="16"/>
      <c r="I51" s="16"/>
      <c r="J51" s="12"/>
      <c r="K51" s="6"/>
    </row>
    <row r="52" spans="1:11" ht="15" customHeight="1" x14ac:dyDescent="0.25">
      <c r="A52" s="6"/>
      <c r="B52" s="10"/>
      <c r="C52" s="14"/>
      <c r="D52" s="15"/>
      <c r="E52" s="15"/>
      <c r="F52" s="11"/>
      <c r="G52" s="14"/>
      <c r="H52" s="16"/>
      <c r="I52" s="16"/>
      <c r="J52" s="12"/>
      <c r="K52" s="6"/>
    </row>
    <row r="53" spans="1:11" ht="15" customHeight="1" x14ac:dyDescent="0.25">
      <c r="A53" s="6"/>
      <c r="B53" s="10"/>
      <c r="C53" s="14"/>
      <c r="D53" s="15"/>
      <c r="E53" s="15"/>
      <c r="F53" s="11"/>
      <c r="G53" s="14"/>
      <c r="H53" s="16"/>
      <c r="I53" s="16"/>
      <c r="J53" s="12"/>
      <c r="K53" s="6"/>
    </row>
    <row r="54" spans="1:11" ht="15.75" thickBot="1" x14ac:dyDescent="0.3">
      <c r="A54" s="6"/>
      <c r="B54" s="17"/>
      <c r="C54" s="18"/>
      <c r="D54" s="18"/>
      <c r="E54" s="18"/>
      <c r="F54" s="18"/>
      <c r="G54" s="18"/>
      <c r="H54" s="18"/>
      <c r="I54" s="18"/>
      <c r="J54" s="19"/>
      <c r="K54" s="6"/>
    </row>
    <row r="55" spans="1:11" x14ac:dyDescent="0.25">
      <c r="A55" s="6"/>
      <c r="B55" s="6"/>
      <c r="C55" s="6"/>
      <c r="D55" s="6"/>
      <c r="E55" s="6"/>
      <c r="F55" s="6"/>
      <c r="G55" s="6"/>
      <c r="H55" s="6"/>
      <c r="I55" s="6"/>
      <c r="J55" s="6"/>
      <c r="K55" s="6"/>
    </row>
    <row r="56" spans="1:11" s="5" customFormat="1" x14ac:dyDescent="0.25"/>
    <row r="57" spans="1:11" s="5" customFormat="1" ht="15.75" customHeight="1" x14ac:dyDescent="0.25"/>
  </sheetData>
  <dataConsolidate/>
  <mergeCells count="39">
    <mergeCell ref="C8:I9"/>
    <mergeCell ref="C11:C12"/>
    <mergeCell ref="D11:E12"/>
    <mergeCell ref="G11:G12"/>
    <mergeCell ref="H11:I12"/>
    <mergeCell ref="C23:I24"/>
    <mergeCell ref="C26:C27"/>
    <mergeCell ref="D26:E27"/>
    <mergeCell ref="G26:G27"/>
    <mergeCell ref="C14:C15"/>
    <mergeCell ref="D14:E15"/>
    <mergeCell ref="G14:G15"/>
    <mergeCell ref="H14:I15"/>
    <mergeCell ref="C17:C18"/>
    <mergeCell ref="D17:E18"/>
    <mergeCell ref="G17:G18"/>
    <mergeCell ref="H17:I18"/>
    <mergeCell ref="C20:C21"/>
    <mergeCell ref="D20:E21"/>
    <mergeCell ref="G20:G21"/>
    <mergeCell ref="H20:I21"/>
    <mergeCell ref="H26:I27"/>
    <mergeCell ref="C32:C33"/>
    <mergeCell ref="D32:E33"/>
    <mergeCell ref="C35:I36"/>
    <mergeCell ref="C38:C39"/>
    <mergeCell ref="D38:E39"/>
    <mergeCell ref="G38:G39"/>
    <mergeCell ref="H38:I39"/>
    <mergeCell ref="C29:C30"/>
    <mergeCell ref="D29:E30"/>
    <mergeCell ref="G29:G30"/>
    <mergeCell ref="H29:I30"/>
    <mergeCell ref="C41:C42"/>
    <mergeCell ref="D41:E42"/>
    <mergeCell ref="G41:G42"/>
    <mergeCell ref="H41:I42"/>
    <mergeCell ref="C44:C45"/>
    <mergeCell ref="D44:E45"/>
  </mergeCells>
  <dataValidations count="3">
    <dataValidation type="list" allowBlank="1" showInputMessage="1" showErrorMessage="1" sqref="D14" xr:uid="{00000000-0002-0000-0100-000000000000}">
      <formula1>$U$7:$U$8</formula1>
    </dataValidation>
    <dataValidation type="list" allowBlank="1" showInputMessage="1" showErrorMessage="1" sqref="S5:S8 H14" xr:uid="{00000000-0002-0000-0100-000001000000}">
      <formula1>$S$6:$S$8</formula1>
    </dataValidation>
    <dataValidation type="list" allowBlank="1" showInputMessage="1" showErrorMessage="1" sqref="P5:P17 D11" xr:uid="{00000000-0002-0000-0100-000002000000}">
      <formula1>$P$5:$P$17</formula1>
    </dataValidation>
  </dataValidation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/>
  <dimension ref="B1:M25"/>
  <sheetViews>
    <sheetView showGridLines="0" topLeftCell="A2" zoomScaleNormal="100" workbookViewId="0">
      <selection activeCell="F11" sqref="F11"/>
    </sheetView>
  </sheetViews>
  <sheetFormatPr baseColWidth="10" defaultRowHeight="16.5" x14ac:dyDescent="0.3"/>
  <cols>
    <col min="1" max="1" width="4.28515625" style="1" customWidth="1"/>
    <col min="2" max="2" width="14.140625" style="1" customWidth="1"/>
    <col min="3" max="3" width="16.5703125" style="1" bestFit="1" customWidth="1"/>
    <col min="4" max="4" width="23.7109375" style="1" customWidth="1"/>
    <col min="5" max="5" width="11.5703125" style="1" customWidth="1"/>
    <col min="6" max="6" width="13.5703125" style="1" customWidth="1"/>
    <col min="7" max="7" width="15.7109375" style="1" customWidth="1"/>
    <col min="8" max="8" width="23.28515625" style="1" customWidth="1"/>
    <col min="9" max="9" width="7.28515625" style="1" hidden="1" customWidth="1"/>
    <col min="10" max="10" width="11.42578125" style="1"/>
    <col min="11" max="11" width="18.28515625" style="1" customWidth="1"/>
    <col min="12" max="16384" width="11.42578125" style="1"/>
  </cols>
  <sheetData>
    <row r="1" spans="2:13" ht="17.25" thickBot="1" x14ac:dyDescent="0.35"/>
    <row r="2" spans="2:13" ht="85.5" customHeight="1" thickBot="1" x14ac:dyDescent="0.35">
      <c r="B2" s="52"/>
      <c r="C2" s="53"/>
      <c r="D2" s="97"/>
      <c r="E2" s="97"/>
      <c r="F2" s="97"/>
      <c r="G2" s="97"/>
      <c r="H2" s="53"/>
      <c r="I2" s="53"/>
      <c r="J2" s="53"/>
      <c r="K2" s="53"/>
      <c r="L2" s="53"/>
      <c r="M2" s="54"/>
    </row>
    <row r="3" spans="2:13" ht="15.75" customHeight="1" thickBot="1" x14ac:dyDescent="0.35">
      <c r="B3" s="55"/>
      <c r="C3" s="51">
        <f ca="1">TODAY()</f>
        <v>44768</v>
      </c>
      <c r="D3" s="57"/>
      <c r="E3" s="57">
        <f ca="1">COUNTIF(Tabla1[días],"&lt;0")</f>
        <v>2</v>
      </c>
      <c r="F3" s="57">
        <f ca="1">COUNTIF(Tabla1[días],"=0")</f>
        <v>0</v>
      </c>
      <c r="G3" s="57">
        <f ca="1">COUNTIFS(Tabla1[días],"&gt;0",Tabla1[días],"&lt;4")</f>
        <v>1</v>
      </c>
      <c r="H3" s="57">
        <f ca="1">COUNTIF(Tabla1[días],"&gt;3")</f>
        <v>2</v>
      </c>
      <c r="I3" s="57"/>
      <c r="J3" s="56"/>
      <c r="K3" s="66" t="s">
        <v>58</v>
      </c>
      <c r="L3" s="56"/>
      <c r="M3" s="58"/>
    </row>
    <row r="4" spans="2:13" x14ac:dyDescent="0.3">
      <c r="B4" s="55"/>
      <c r="C4" s="23" t="s">
        <v>0</v>
      </c>
      <c r="D4" s="24" t="s">
        <v>1</v>
      </c>
      <c r="E4" s="24" t="s">
        <v>2</v>
      </c>
      <c r="F4" s="24" t="s">
        <v>3</v>
      </c>
      <c r="G4" s="24" t="s">
        <v>4</v>
      </c>
      <c r="H4" s="24" t="s">
        <v>5</v>
      </c>
      <c r="I4" s="2" t="s">
        <v>6</v>
      </c>
      <c r="J4" s="56"/>
      <c r="K4" s="56" t="s">
        <v>17</v>
      </c>
      <c r="L4" s="59"/>
      <c r="M4" s="58"/>
    </row>
    <row r="5" spans="2:13" x14ac:dyDescent="0.3">
      <c r="B5" s="55"/>
      <c r="C5" s="20" t="s">
        <v>7</v>
      </c>
      <c r="D5" s="21" t="s">
        <v>8</v>
      </c>
      <c r="E5" s="22">
        <v>44851</v>
      </c>
      <c r="F5" s="21">
        <v>30</v>
      </c>
      <c r="G5" s="22">
        <f>IF(Tabla1[[#This Row],[Días a vencer]]="","",E5+F5)</f>
        <v>44881</v>
      </c>
      <c r="H5" s="3" t="str">
        <f t="shared" ref="H5:H9" ca="1" si="0">IF(F5="","VACIO",IF(I5&lt;0,"Vencido hace "&amp;I5*-1&amp;" días",IF(I5=0,"Vence hoy",IF(I5&lt;4,"Tiene "&amp;I5&amp;" días","Faltan "&amp;I5&amp;" días"))))</f>
        <v>Faltan 113 días</v>
      </c>
      <c r="I5" s="4">
        <f ca="1">G5-$C$3</f>
        <v>113</v>
      </c>
      <c r="J5" s="56"/>
      <c r="K5" s="56" t="s">
        <v>18</v>
      </c>
      <c r="L5" s="60"/>
      <c r="M5" s="58"/>
    </row>
    <row r="6" spans="2:13" x14ac:dyDescent="0.3">
      <c r="B6" s="55"/>
      <c r="C6" s="20" t="s">
        <v>9</v>
      </c>
      <c r="D6" s="21" t="s">
        <v>10</v>
      </c>
      <c r="E6" s="22">
        <v>44621</v>
      </c>
      <c r="F6" s="21">
        <v>12</v>
      </c>
      <c r="G6" s="22">
        <f>IF(Tabla1[[#This Row],[Días a vencer]]="","",E6+F6)</f>
        <v>44633</v>
      </c>
      <c r="H6" s="3" t="str">
        <f t="shared" ca="1" si="0"/>
        <v>Vencido hace 135 días</v>
      </c>
      <c r="I6" s="4">
        <f t="shared" ref="I6:I9" ca="1" si="1">G6-$C$3</f>
        <v>-135</v>
      </c>
      <c r="J6" s="56"/>
      <c r="K6" s="56" t="s">
        <v>19</v>
      </c>
      <c r="L6" s="61"/>
      <c r="M6" s="58"/>
    </row>
    <row r="7" spans="2:13" x14ac:dyDescent="0.3">
      <c r="B7" s="55"/>
      <c r="C7" s="20" t="s">
        <v>11</v>
      </c>
      <c r="D7" s="21" t="s">
        <v>12</v>
      </c>
      <c r="E7" s="22">
        <v>44760</v>
      </c>
      <c r="F7" s="21">
        <v>10</v>
      </c>
      <c r="G7" s="22">
        <f>IF(Tabla1[[#This Row],[Días a vencer]]="","",E7+F7)</f>
        <v>44770</v>
      </c>
      <c r="H7" s="3" t="str">
        <f t="shared" ca="1" si="0"/>
        <v>Tiene 2 días</v>
      </c>
      <c r="I7" s="4">
        <f t="shared" ca="1" si="1"/>
        <v>2</v>
      </c>
      <c r="J7" s="56"/>
      <c r="K7" s="56" t="s">
        <v>20</v>
      </c>
      <c r="L7" s="62"/>
      <c r="M7" s="58"/>
    </row>
    <row r="8" spans="2:13" x14ac:dyDescent="0.3">
      <c r="B8" s="55"/>
      <c r="C8" s="20" t="s">
        <v>13</v>
      </c>
      <c r="D8" s="21" t="s">
        <v>14</v>
      </c>
      <c r="E8" s="22">
        <v>44748</v>
      </c>
      <c r="F8" s="21">
        <v>5</v>
      </c>
      <c r="G8" s="22">
        <f>IF(Tabla1[[#This Row],[Días a vencer]]="","",E8+F8)</f>
        <v>44753</v>
      </c>
      <c r="H8" s="3" t="str">
        <f t="shared" ca="1" si="0"/>
        <v>Vencido hace 15 días</v>
      </c>
      <c r="I8" s="4">
        <f t="shared" ca="1" si="1"/>
        <v>-15</v>
      </c>
      <c r="J8" s="56"/>
      <c r="K8" s="56"/>
      <c r="L8" s="56"/>
      <c r="M8" s="58"/>
    </row>
    <row r="9" spans="2:13" x14ac:dyDescent="0.3">
      <c r="B9" s="55"/>
      <c r="C9" s="20" t="s">
        <v>15</v>
      </c>
      <c r="D9" s="21" t="s">
        <v>16</v>
      </c>
      <c r="E9" s="22">
        <v>44754</v>
      </c>
      <c r="F9" s="21">
        <v>25</v>
      </c>
      <c r="G9" s="22">
        <f>IF(Tabla1[[#This Row],[Días a vencer]]="","",E9+F9)</f>
        <v>44779</v>
      </c>
      <c r="H9" s="3" t="str">
        <f t="shared" ca="1" si="0"/>
        <v>Faltan 11 días</v>
      </c>
      <c r="I9" s="4">
        <f t="shared" ca="1" si="1"/>
        <v>11</v>
      </c>
      <c r="J9" s="56"/>
      <c r="K9" s="56"/>
      <c r="L9" s="56"/>
      <c r="M9" s="58"/>
    </row>
    <row r="10" spans="2:13" x14ac:dyDescent="0.3">
      <c r="B10" s="55"/>
      <c r="C10" s="56"/>
      <c r="D10" s="56"/>
      <c r="E10" s="56"/>
      <c r="F10" s="56"/>
      <c r="G10" s="56"/>
      <c r="H10" s="56"/>
      <c r="I10" s="56"/>
      <c r="J10" s="56"/>
      <c r="K10" s="56"/>
      <c r="L10" s="56"/>
      <c r="M10" s="58"/>
    </row>
    <row r="11" spans="2:13" x14ac:dyDescent="0.3">
      <c r="B11" s="55"/>
      <c r="C11" s="56"/>
      <c r="D11" s="56"/>
      <c r="E11" s="56"/>
      <c r="F11" s="56"/>
      <c r="G11" s="56"/>
      <c r="H11" s="56"/>
      <c r="I11" s="56"/>
      <c r="J11" s="56"/>
      <c r="K11" s="56"/>
      <c r="L11" s="56"/>
      <c r="M11" s="58"/>
    </row>
    <row r="12" spans="2:13" x14ac:dyDescent="0.3">
      <c r="B12" s="55"/>
      <c r="C12" s="56"/>
      <c r="D12" s="56"/>
      <c r="E12" s="56"/>
      <c r="F12" s="56"/>
      <c r="G12" s="56"/>
      <c r="H12" s="56"/>
      <c r="I12" s="56"/>
      <c r="J12" s="56"/>
      <c r="K12" s="56"/>
      <c r="L12" s="56"/>
      <c r="M12" s="58"/>
    </row>
    <row r="13" spans="2:13" x14ac:dyDescent="0.3">
      <c r="B13" s="55"/>
      <c r="C13" s="56"/>
      <c r="D13" s="56"/>
      <c r="E13" s="56"/>
      <c r="F13" s="56"/>
      <c r="G13" s="56"/>
      <c r="H13" s="56"/>
      <c r="I13" s="56"/>
      <c r="J13" s="56"/>
      <c r="K13" s="56"/>
      <c r="L13" s="56"/>
      <c r="M13" s="58"/>
    </row>
    <row r="14" spans="2:13" x14ac:dyDescent="0.3">
      <c r="B14" s="55"/>
      <c r="C14" s="56"/>
      <c r="D14" s="56"/>
      <c r="E14" s="56"/>
      <c r="F14" s="56"/>
      <c r="G14" s="56"/>
      <c r="H14" s="56"/>
      <c r="I14" s="56"/>
      <c r="J14" s="56"/>
      <c r="K14" s="56"/>
      <c r="L14" s="56"/>
      <c r="M14" s="58"/>
    </row>
    <row r="15" spans="2:13" x14ac:dyDescent="0.3">
      <c r="B15" s="55"/>
      <c r="C15" s="56"/>
      <c r="D15" s="56"/>
      <c r="E15" s="56"/>
      <c r="F15" s="56"/>
      <c r="G15" s="56"/>
      <c r="H15" s="56"/>
      <c r="I15" s="56"/>
      <c r="J15" s="56"/>
      <c r="K15" s="56"/>
      <c r="L15" s="56"/>
      <c r="M15" s="58"/>
    </row>
    <row r="16" spans="2:13" x14ac:dyDescent="0.3">
      <c r="B16" s="55"/>
      <c r="C16" s="56"/>
      <c r="D16" s="56"/>
      <c r="E16" s="56"/>
      <c r="F16" s="56"/>
      <c r="G16" s="56"/>
      <c r="H16" s="56"/>
      <c r="I16" s="56"/>
      <c r="J16" s="56"/>
      <c r="K16" s="56"/>
      <c r="L16" s="56"/>
      <c r="M16" s="58"/>
    </row>
    <row r="17" spans="2:13" x14ac:dyDescent="0.3">
      <c r="B17" s="55"/>
      <c r="C17" s="56"/>
      <c r="D17" s="56"/>
      <c r="E17" s="56"/>
      <c r="F17" s="56"/>
      <c r="G17" s="56"/>
      <c r="H17" s="56"/>
      <c r="I17" s="56"/>
      <c r="J17" s="56"/>
      <c r="K17" s="56"/>
      <c r="L17" s="56"/>
      <c r="M17" s="58"/>
    </row>
    <row r="18" spans="2:13" x14ac:dyDescent="0.3">
      <c r="B18" s="55"/>
      <c r="C18" s="56"/>
      <c r="D18" s="56"/>
      <c r="E18" s="56"/>
      <c r="F18" s="56"/>
      <c r="G18" s="56"/>
      <c r="H18" s="56"/>
      <c r="I18" s="56"/>
      <c r="J18" s="56"/>
      <c r="K18" s="56"/>
      <c r="L18" s="56"/>
      <c r="M18" s="58"/>
    </row>
    <row r="19" spans="2:13" x14ac:dyDescent="0.3">
      <c r="B19" s="55"/>
      <c r="C19" s="56"/>
      <c r="D19" s="56"/>
      <c r="E19" s="56"/>
      <c r="F19" s="56"/>
      <c r="G19" s="56"/>
      <c r="H19" s="56"/>
      <c r="I19" s="56"/>
      <c r="J19" s="56"/>
      <c r="K19" s="56"/>
      <c r="L19" s="56"/>
      <c r="M19" s="58"/>
    </row>
    <row r="20" spans="2:13" x14ac:dyDescent="0.3">
      <c r="B20" s="55"/>
      <c r="C20" s="56"/>
      <c r="D20" s="56"/>
      <c r="E20" s="56"/>
      <c r="F20" s="56"/>
      <c r="G20" s="56"/>
      <c r="H20" s="56"/>
      <c r="I20" s="56"/>
      <c r="J20" s="56"/>
      <c r="K20" s="56"/>
      <c r="L20" s="56"/>
      <c r="M20" s="58"/>
    </row>
    <row r="21" spans="2:13" x14ac:dyDescent="0.3">
      <c r="B21" s="55"/>
      <c r="C21" s="56"/>
      <c r="D21" s="56"/>
      <c r="E21" s="56"/>
      <c r="F21" s="56"/>
      <c r="G21" s="56"/>
      <c r="H21" s="56"/>
      <c r="I21" s="56"/>
      <c r="J21" s="56"/>
      <c r="K21" s="56"/>
      <c r="L21" s="56"/>
      <c r="M21" s="58"/>
    </row>
    <row r="22" spans="2:13" x14ac:dyDescent="0.3">
      <c r="B22" s="55"/>
      <c r="C22" s="56"/>
      <c r="D22" s="56"/>
      <c r="E22" s="56"/>
      <c r="F22" s="56"/>
      <c r="G22" s="56"/>
      <c r="H22" s="56"/>
      <c r="I22" s="56"/>
      <c r="J22" s="56"/>
      <c r="K22" s="56"/>
      <c r="L22" s="56"/>
      <c r="M22" s="58"/>
    </row>
    <row r="23" spans="2:13" x14ac:dyDescent="0.3">
      <c r="B23" s="55"/>
      <c r="C23" s="56"/>
      <c r="D23" s="56"/>
      <c r="E23" s="56"/>
      <c r="F23" s="56"/>
      <c r="G23" s="56"/>
      <c r="H23" s="56"/>
      <c r="I23" s="56"/>
      <c r="J23" s="56"/>
      <c r="K23" s="56"/>
      <c r="L23" s="56"/>
      <c r="M23" s="58"/>
    </row>
    <row r="24" spans="2:13" x14ac:dyDescent="0.3">
      <c r="B24" s="55"/>
      <c r="C24" s="56"/>
      <c r="D24" s="56"/>
      <c r="E24" s="56"/>
      <c r="F24" s="56"/>
      <c r="G24" s="56"/>
      <c r="H24" s="56"/>
      <c r="I24" s="56"/>
      <c r="J24" s="56"/>
      <c r="K24" s="56"/>
      <c r="L24" s="56"/>
      <c r="M24" s="58"/>
    </row>
    <row r="25" spans="2:13" ht="17.25" thickBot="1" x14ac:dyDescent="0.35">
      <c r="B25" s="63"/>
      <c r="C25" s="64"/>
      <c r="D25" s="64"/>
      <c r="E25" s="64"/>
      <c r="F25" s="64"/>
      <c r="G25" s="64"/>
      <c r="H25" s="64"/>
      <c r="I25" s="64"/>
      <c r="J25" s="64"/>
      <c r="K25" s="64"/>
      <c r="L25" s="64"/>
      <c r="M25" s="65"/>
    </row>
  </sheetData>
  <mergeCells count="1">
    <mergeCell ref="D2:G2"/>
  </mergeCells>
  <conditionalFormatting sqref="H5:H9">
    <cfRule type="expression" dxfId="15" priority="1">
      <formula>$I5&gt;=4</formula>
    </cfRule>
    <cfRule type="expression" dxfId="14" priority="2">
      <formula>AND($I5&gt;0,$I5&lt;4)</formula>
    </cfRule>
    <cfRule type="expression" dxfId="13" priority="3">
      <formula>$I5=0</formula>
    </cfRule>
    <cfRule type="expression" dxfId="12" priority="4">
      <formula>$I5&lt;0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1</vt:i4>
      </vt:variant>
    </vt:vector>
  </HeadingPairs>
  <TitlesOfParts>
    <vt:vector size="4" baseType="lpstr">
      <vt:lpstr>PORTADA</vt:lpstr>
      <vt:lpstr>INFORMACIÓN GENERAL</vt:lpstr>
      <vt:lpstr>PROPUESTA</vt:lpstr>
      <vt:lpstr>PARROQUIAS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MIRIAN JOHANA</cp:lastModifiedBy>
  <dcterms:created xsi:type="dcterms:W3CDTF">2019-10-17T23:56:04Z</dcterms:created>
  <dcterms:modified xsi:type="dcterms:W3CDTF">2022-07-26T13:02:36Z</dcterms:modified>
</cp:coreProperties>
</file>